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ed Testing" sheetId="1" r:id="rId5"/>
  </sheets>
  <definedNames/>
  <calcPr/>
</workbook>
</file>

<file path=xl/sharedStrings.xml><?xml version="1.0" encoding="utf-8"?>
<sst xmlns="http://schemas.openxmlformats.org/spreadsheetml/2006/main" count="628" uniqueCount="492">
  <si>
    <t>Project Name:</t>
  </si>
  <si>
    <t>JADWALIN: B2B SMART SHIFT SCHEDULING PLATFORM</t>
  </si>
  <si>
    <t>Total tes</t>
  </si>
  <si>
    <t>Jenis Pengujian:</t>
  </si>
  <si>
    <t>Automated testing (Playwright, end-to-end di peramban)</t>
  </si>
  <si>
    <t>PASS</t>
  </si>
  <si>
    <t>Lingkungan:</t>
  </si>
  <si>
    <t>Chromium desktop, Playwright 1.64.0, 1 pekerja, aplikasi Laravel lokal dengan PostgreSQL Supabase / SQLite, MAIL_MAILER=log</t>
  </si>
  <si>
    <t>FAIL</t>
  </si>
  <si>
    <t>Tanggal eksekusi:</t>
  </si>
  <si>
    <t>22 Oktober 2026</t>
  </si>
  <si>
    <t>Persentase lulus</t>
  </si>
  <si>
    <t>Perintah:</t>
  </si>
  <si>
    <t>npx playwright test</t>
  </si>
  <si>
    <t>Total durasi (detik)</t>
  </si>
  <si>
    <t>NO</t>
  </si>
  <si>
    <t>AUTOMATED TEST ID</t>
  </si>
  <si>
    <t>MODUL</t>
  </si>
  <si>
    <t>TEST SCENARIO</t>
  </si>
  <si>
    <t>TEST CASE</t>
  </si>
  <si>
    <t>REFERENSI TEST CASE MANUAL</t>
  </si>
  <si>
    <t>PRE-CONDITION</t>
  </si>
  <si>
    <t>TEST STEPS
(OTOMATIS)</t>
  </si>
  <si>
    <t>EXPECTED
RESULT</t>
  </si>
  <si>
    <t>ACTUAL
RESULT</t>
  </si>
  <si>
    <t>STATUS
(PASS/FAIL)</t>
  </si>
  <si>
    <t>DURASI
(detik)</t>
  </si>
  <si>
    <t>CATATAN</t>
  </si>
  <si>
    <t>TC_LAND_001</t>
  </si>
  <si>
    <t>Halaman awal</t>
  </si>
  <si>
    <t>Landing page publik</t>
  </si>
  <si>
    <t>Pengunjung dapat mengakses landing page publik Jadwalin</t>
  </si>
  <si>
    <t>TC_AUTH_006 - Verifikasi elemen antarmuka halaman login tampil lengkap</t>
  </si>
  <si>
    <t>Pengunjung belum login (guest mode).</t>
  </si>
  <si>
    <t>1. Akses halaman awal di rute /.
2. Verifikasi status URL dan judul tab peramban.</t>
  </si>
  <si>
    <t>Landing page berhasil dimuat dengan judul Jadwalin dan menampilkan badge kepatuhan regulasi PP No. 35/2021.</t>
  </si>
  <si>
    <t>Halaman utama berhasil dimuat dengan status HTTP 200, judul memuat Jadwalin, dan badge PP No. 35/2021 tampil.</t>
  </si>
  <si>
    <t>TC_LAND_002</t>
  </si>
  <si>
    <t>Navigasi masuk</t>
  </si>
  <si>
    <t>Tautan tombol Masuk Sistem mengarahkan ke halaman login</t>
  </si>
  <si>
    <t>TC_AUTH_001 - Login valid dengan akun Super Admin</t>
  </si>
  <si>
    <t>Pengunjung berada di halaman awal.</t>
  </si>
  <si>
    <t>1. Buka landing page.
2. Klik tombol Masuk Sistem / Masuk ke Workspace.</t>
  </si>
  <si>
    <t>Pengguna dialihkan ke rute /login dan formulir masuk terbuka.</t>
  </si>
  <si>
    <t>Diarahkan ke /login dengan judul Selamat Datang di Jadwalin dan form input kredensial.</t>
  </si>
  <si>
    <t>TC_LAND_003</t>
  </si>
  <si>
    <t>Pilar nilai &amp; kepatuhan</t>
  </si>
  <si>
    <t>Menampilkan pilar fitur 0 Konflik Jam Kerja dan informasi platform</t>
  </si>
  <si>
    <t>TC_REG_004 - Inisialisasi otomatis parameter regulasi default standar PP No. 35/2021</t>
  </si>
  <si>
    <t>Pengunjung berada di landing page publik.</t>
  </si>
  <si>
    <t>1. Buka landing page.
2. Periksa navigasi dan ringkasan hak cipta platform.</t>
  </si>
  <si>
    <t>Navigasi utama dan informasi platform Jadwalin tampil secara visual.</t>
  </si>
  <si>
    <t>Elemen navigasi dan hak cipta 2026 Jadwalin terdeteksi visible pada DOM.</t>
  </si>
  <si>
    <t>TC_LOG_001</t>
  </si>
  <si>
    <t>Login dan sesi</t>
  </si>
  <si>
    <t>Antarmuka login</t>
  </si>
  <si>
    <t>Elemen antarmuka halaman login tampil lengkap</t>
  </si>
  <si>
    <t>Pengguna belum login, berada di rute /login.</t>
  </si>
  <si>
    <t>1. Buka halaman /login.
2. Periksa input email, password, toggle show/hide, tombol submit, dan link lupa password.</t>
  </si>
  <si>
    <t>Seluruh elemen input kredensial, tombol Masuk ke Workspace, dan link lupa password tampil lengkap.</t>
  </si>
  <si>
    <t>Input email, password, tombol submit, dan link lupa sandi terdeteksi visible.</t>
  </si>
  <si>
    <t>TC_LOG_002</t>
  </si>
  <si>
    <t>Visibilitas kata sandi</t>
  </si>
  <si>
    <t>Toggle tampil/sembunyikan kata sandi berfungsi</t>
  </si>
  <si>
    <t>TC_AUTH_007 - Toggle tampil/sembunyikan kata sandi (Show/Hide Password)</t>
  </si>
  <si>
    <t>Pengguna berada di form login.</t>
  </si>
  <si>
    <t>1. Isi input password.
2. Klik tombol ikon toggle visibilitas.
3. Klik kembali untuk menyembunyikan.</t>
  </si>
  <si>
    <t>Tipe atribut input berubah dinamis antara text dan password.</t>
  </si>
  <si>
    <t>Atribut input bertransisi dari password ke text dan kembali ke password secara reaktif.</t>
  </si>
  <si>
    <t>TC_LOG_003</t>
  </si>
  <si>
    <t>Login</t>
  </si>
  <si>
    <t>Login Super Admin menuju dashboard admin</t>
  </si>
  <si>
    <t>Akun Super Admin terdaftar di database.</t>
  </si>
  <si>
    <t>1. Masukkan email owner@senjawisata.co.id.
2. Masukkan password password123.
3. Klik tombol Masuk ke Workspace.</t>
  </si>
  <si>
    <t>Login berhasil, dialihkan otomatis ke /admin/dashboard dengan header Super Admin.</t>
  </si>
  <si>
    <t>Dialihkan ke /admin/dashboard dengan status HTTP 200 dan profil Super Admin aktif.</t>
  </si>
  <si>
    <t>TC_LOG_004</t>
  </si>
  <si>
    <t>Login Manager menuju dashboard manager</t>
  </si>
  <si>
    <t>TC_AUTH_002 - Login valid dengan akun Manajer Operasional</t>
  </si>
  <si>
    <t>Akun Manager terdaftar di database.</t>
  </si>
  <si>
    <t>1. Masukkan email manager@senjawisata.co.id.
2. Masukkan password password123.
3. Klik tombol Masuk ke Workspace.</t>
  </si>
  <si>
    <t>Login berhasil, dialihkan otomatis ke /manager/dashboard dengan widget tim operasional.</t>
  </si>
  <si>
    <t>Pengguna berhasil login dan diarahkan ke /manager/dashboard.</t>
  </si>
  <si>
    <t>TC_LOG_005</t>
  </si>
  <si>
    <t>Login Karyawan menuju dashboard karyawan</t>
  </si>
  <si>
    <t>TC_AUTH_003 - Login valid dengan akun Karyawan (Employee)</t>
  </si>
  <si>
    <t>Akun Karyawan terdaftar di database.</t>
  </si>
  <si>
    <t>1. Masukkan email karyawan@senjawisata.co.id.
2. Masukkan password password123.
3. Klik tombol Masuk ke Workspace.</t>
  </si>
  <si>
    <t>Login berhasil, dialihkan otomatis ke /employee/dashboard dengan panel presensi mandiri.</t>
  </si>
  <si>
    <t>Pengguna berhasil login dan diarahkan ke /employee/dashboard.</t>
  </si>
  <si>
    <t>TC_LOG_006</t>
  </si>
  <si>
    <t>Login negatif</t>
  </si>
  <si>
    <t>Login gagal jika kata sandi salah</t>
  </si>
  <si>
    <t>TC_AUTH_004 - Login dengan kata sandi salah / akun tidak terdaftar</t>
  </si>
  <si>
    <t>Email terdaftar, kata sandi yang diinput tidak sesuai.</t>
  </si>
  <si>
    <t>1. Masukkan email owner@senjawisata.co.id.
2. Masukkan password salah: password_salah123.
3. Klik tombol Masuk ke Workspace.</t>
  </si>
  <si>
    <t>Sistem menolak login, tetap di /login, dan menampilkan notifikasi kesalahan kredensial.</t>
  </si>
  <si>
    <t>Sesi gagal dibuat, tetap di /login dengan pesan validasi kredensial tidak cocok.</t>
  </si>
  <si>
    <t>TC_LOG_007</t>
  </si>
  <si>
    <t>Login gagal jika email tidak terdaftar</t>
  </si>
  <si>
    <t>TC_AUTH_008 - Login gagal dengan email tidak terdaftar</t>
  </si>
  <si>
    <t>Email belum pernah didaftarkan pada tenant manapun.</t>
  </si>
  <si>
    <t>1. Masukkan email tidak_ada@senjawisata.co.id.
2. Masukkan kata sandi.
3. Klik Masuk ke Workspace.</t>
  </si>
  <si>
    <t>Sistem menolak autentikasi, tidak ada sesi yang terbuat, menampilkan pesan error.</t>
  </si>
  <si>
    <t>Tetap pada halaman /login dan pesan validasi kredensial salah muncul.</t>
  </si>
  <si>
    <t>TC_LOG_008</t>
  </si>
  <si>
    <t>Validasi formulir</t>
  </si>
  <si>
    <t>Field email dan password wajib diisi</t>
  </si>
  <si>
    <t>TC_AUTH_009 - Validasi field formulir login tidak boleh kosong (Required)</t>
  </si>
  <si>
    <t>Pengguna berada di /login.</t>
  </si>
  <si>
    <t>1. Klik tombol submit tanpa mengisi email dan password.
2. Isi email saja lalu klik submit.</t>
  </si>
  <si>
    <t>Form dicegah terkirim oleh validasi required browser (valueMissing), request HTTP tidak dikirim.</t>
  </si>
  <si>
    <t>Field ditandai invalid oleh validasi native HTML5 dan form tidak tersubmit.</t>
  </si>
  <si>
    <t>TC_LOG_009</t>
  </si>
  <si>
    <t>Sesi</t>
  </si>
  <si>
    <t>Pengguna dapat logout dan kembali ke halaman login</t>
  </si>
  <si>
    <t>TC_AUTH_010 - Pengguna mengakhiri sesi melalui aksi Logout</t>
  </si>
  <si>
    <t>Pengguna sedang dalam kondisi login aktif.</t>
  </si>
  <si>
    <t>1. Klik tombol Keluar / Logout pada sidebar.
2. Coba akses kembali URL dashboard yang dilindungi.</t>
  </si>
  <si>
    <t>Sesi diakhiri, dialihkan ke /login, dan akses URL terproteksi dicegah.</t>
  </si>
  <si>
    <t>Cookie sesi dihancurkan, dialihkan ke /login, dan rute dashboard dilindungi.</t>
  </si>
  <si>
    <t>TC_AUTH_004</t>
  </si>
  <si>
    <t>Lupa kata sandi</t>
  </si>
  <si>
    <t>Halaman lupa kata sandi (Forgot Password) dapat dimuat</t>
  </si>
  <si>
    <t>TC_AUTH_011 - Halaman lupa kata sandi (Forgot Password) dapat dimuat</t>
  </si>
  <si>
    <t>Pengguna lupa kata sandi akun.</t>
  </si>
  <si>
    <t>1. Buka URL /forgot-password.
2. Periksa keberadaan form input email reset.</t>
  </si>
  <si>
    <t>Halaman lupa kata sandi terbuka dengan status 200 dan formulir email reset siap digunakan.</t>
  </si>
  <si>
    <t>Rute /forgot-password memuat view form permohonan tautan reset kata sandi.</t>
  </si>
  <si>
    <t>TC_AUTH_005</t>
  </si>
  <si>
    <t>Proteksi konfirmasi</t>
  </si>
  <si>
    <t>Halaman konfirmasi kata sandi (Confirm Password) terlindungi autentikasi</t>
  </si>
  <si>
    <t>TC_AUTH_012 - Halaman konfirmasi kata sandi (Confirm Password) terlindungi autentikasi</t>
  </si>
  <si>
    <t>Pengguna tamu / belum login.</t>
  </si>
  <si>
    <t>1. Buka URL /confirm-password secara langsung tanpa login.</t>
  </si>
  <si>
    <t>Middleware mencegat akses tamu dan mengalihkan pengguna ke /login.</t>
  </si>
  <si>
    <t>Pengguna tamu dialihkan ke halaman /login dengan status redirect 302.</t>
  </si>
  <si>
    <t>TC_NAV_001</t>
  </si>
  <si>
    <t>Navigasi &amp; RBAC</t>
  </si>
  <si>
    <t>Otorisasi peran</t>
  </si>
  <si>
    <t>Hak akses dan menu navigasi Super Admin</t>
  </si>
  <si>
    <t>TC_AUTH_013 - Hak akses dan menu navigasi Super Admin</t>
  </si>
  <si>
    <t>Login sebagai Super Admin.</t>
  </si>
  <si>
    <t>1. Login sebagai owner@senjawisata.co.id.
2. Periksa menu Departemen, Template Shift, Rekap Timesheet, dan Pengaturan.
3. Buka rute /admin/companies.</t>
  </si>
  <si>
    <t>Seluruh menu administrasi tampil dan rute administratif dapat diakses penuh.</t>
  </si>
  <si>
    <t>Seluruh menu navigasi admin terverifikasi tampil dan rute dapat diakses sukses (200).</t>
  </si>
  <si>
    <t>TC_NAV_002</t>
  </si>
  <si>
    <t>Hak akses dan menu navigasi Manager</t>
  </si>
  <si>
    <t>TC_AUTH_014 - Hak akses dan menu navigasi Manager</t>
  </si>
  <si>
    <t>Login sebagai Manajer Operasional.</t>
  </si>
  <si>
    <t>1. Login sebagai manager@senjawisata.co.id.
2. Periksa menu Jadwal Tim, Persetujuan Ketersediaan, dan Presensi Tim.
3. Verifikasi ketiadaan menu pengaturan perusahaan superadmin.</t>
  </si>
  <si>
    <t>Menu operasional manajer tampil, menu superadmin tidak ditampilkan.</t>
  </si>
  <si>
    <t>Menu tim manajer aktif dan link pengaturan admin terisolasi dari sidebar manajer.</t>
  </si>
  <si>
    <t>TC_NAV_003</t>
  </si>
  <si>
    <t>Hak akses dan menu navigasi Karyawan (Employee)</t>
  </si>
  <si>
    <t>TC_AUTH_015 - Hak akses dan menu navigasi Karyawan (Employee)</t>
  </si>
  <si>
    <t>Login sebagai Karyawan biasa.</t>
  </si>
  <si>
    <t>1. Login sebagai karyawan@senjawisata.co.id.
2. Periksa menu Jadwal Saya, Presensi Mandiri, dan Ketersediaan Waktu.
3. Akses langsung URL /admin/dashboard.</t>
  </si>
  <si>
    <t>Menu mandiri tampil dan akses ke rute admin ditolak (403 Forbidden).</t>
  </si>
  <si>
    <t>Menu karyawan tampil dan upaya membuka /admin/dashboard diblokir dengan kode 403.</t>
  </si>
  <si>
    <t>TC_PRF_001</t>
  </si>
  <si>
    <t>Profil akun</t>
  </si>
  <si>
    <t>Lihat profil</t>
  </si>
  <si>
    <t>Pengguna terautentikasi dapat melihat halaman profil lengkap</t>
  </si>
  <si>
    <t>TC_PRF_003 - Melihat halaman profil lengkap</t>
  </si>
  <si>
    <t>Pengguna telah login ke sistem.</t>
  </si>
  <si>
    <t>1. Navigasi ke menu Profil (/profile).
2. Periksa form informasi profil, kontak telepon, dan informasi tenant.</t>
  </si>
  <si>
    <t>Halaman profil terbuka, menampilkan nama pengguna, email, dan detail organisasi.</t>
  </si>
  <si>
    <t>Rute /profile dimuat dengan sukses dan data akun pengguna terisi di field input.</t>
  </si>
  <si>
    <t>TC_PRF_002</t>
  </si>
  <si>
    <t>Perbarui data</t>
  </si>
  <si>
    <t>Pengguna dapat memperbarui nama dan nomor telepon profil</t>
  </si>
  <si>
    <t>TC_PRF_001 - Pembaruan informasi profil pengguna (Nama &amp; Email)</t>
  </si>
  <si>
    <t>Pengguna berada di halaman profil.</t>
  </si>
  <si>
    <t>1. Edit nama pengguna dan nomor telepon valid.
2. Klik tombol Simpan Profil.</t>
  </si>
  <si>
    <t>Data tersimpan ke basis data dan pesan konfirmasi sukses tampil.</t>
  </si>
  <si>
    <t>Profil diperbarui dan notifikasi pesan Tersimpan / sukses tampil di UI.</t>
  </si>
  <si>
    <t>TC_PRF_003</t>
  </si>
  <si>
    <t>Validasi telepon</t>
  </si>
  <si>
    <t>Validasi nomor telepon tidak valid ditolak</t>
  </si>
  <si>
    <t>TC_PRF_004 - Validasi nomor telepon tidak valid ditolak</t>
  </si>
  <si>
    <t>Pengguna berada di formulir profil.</t>
  </si>
  <si>
    <t>1. Masukkan format nomor telepon tidak valid (huruf/simbol).
2. Klik Simpan Profil.</t>
  </si>
  <si>
    <t>Sistem menolak penyimpanan dan memunculkan notifikasi error validasi.</t>
  </si>
  <si>
    <t>Form menampilkan pesan kesalahan format nomor telepon di bawah input.</t>
  </si>
  <si>
    <t>TC_PRF_004</t>
  </si>
  <si>
    <t>Kata sandi</t>
  </si>
  <si>
    <t>Pengubahan kata sandi menolak jika kata sandi saat ini salah</t>
  </si>
  <si>
    <t>TC_PRF_005 - Ubah kata sandi ditolak jika kata sandi saat ini salah</t>
  </si>
  <si>
    <t>Pengguna berada di seksi Ganti Kata Sandi.</t>
  </si>
  <si>
    <t>1. Masukkan kata sandi saat ini yang salah.
2. Masukkan password baru dan konfirmasinya.
3. Klik tombol Simpan Kata Sandi.</t>
  </si>
  <si>
    <t>Sistem menolak pembaruan kata sandi dan memberi peringatan password lama salah.</t>
  </si>
  <si>
    <t>Pesan error validasi password saat ini tidak sesuai ditampilkan di UI.</t>
  </si>
  <si>
    <t>TC_DEP_001</t>
  </si>
  <si>
    <t>Master organisasi</t>
  </si>
  <si>
    <t>Daftar divisi &amp; jabatan</t>
  </si>
  <si>
    <t>Super Admin dapat melihat daftar departemen dan posisi jabatan</t>
  </si>
  <si>
    <t>TC_ORG_005 - Melihat daftar departemen dan posisi jabatan</t>
  </si>
  <si>
    <t>1. Buka rute /admin/departments.
2. Verifikasi tabel daftar departemen.
3. Klik tab Posisi Jabatan (/admin/positions).</t>
  </si>
  <si>
    <t>Tabel daftar departemen tampil dan navigasi ke tab posisi jabatan berfungsi lancar.</t>
  </si>
  <si>
    <t>Tampilan heading Departemen &amp; Posisi dan tabel divisi terverifikasi visible.</t>
  </si>
  <si>
    <t>TC_DEP_002</t>
  </si>
  <si>
    <t>Tambah departemen</t>
  </si>
  <si>
    <t>Super Admin dapat menambahkan departemen baru dengan data valid</t>
  </si>
  <si>
    <t>TC_ORG_001 - Tambah departemen baru dengan input valid</t>
  </si>
  <si>
    <t>1. Buka form /admin/departments/create.
2. Isi nama departemen unik dan deskripsi.
3. Klik tombol Simpan Department.</t>
  </si>
  <si>
    <t>Dialihkan ke daftar departemen dengan flash message 'Department berhasil ditambahkan.'.</t>
  </si>
  <si>
    <t>Flash message sukses muncul dan data departemen baru tertera pada tabel daftar.</t>
  </si>
  <si>
    <t>TC_DEP_003</t>
  </si>
  <si>
    <t>Validasi duplikat</t>
  </si>
  <si>
    <t>Penolakan nama departemen duplikat dalam satu perusahaan</t>
  </si>
  <si>
    <t>TC_ORG_002 - Tambah departemen dengan nama duplikat di tenant yang sama</t>
  </si>
  <si>
    <t>Departemen bernama Food &amp; Beverage sudah ada di tenant.</t>
  </si>
  <si>
    <t>1. Buka form tambah departemen.
2. Input nama yang sama: Food &amp; Beverage.
3. Submit formulir.</t>
  </si>
  <si>
    <t>Sistem menolak penyimpanan dan memunculkan pesan validasi nama department sudah digunakan.</t>
  </si>
  <si>
    <t>Validasi unik aktif dan pesan error penolakan nama duplikat tampil merah di UI.</t>
  </si>
  <si>
    <t>TC_DEP_004</t>
  </si>
  <si>
    <t>Multi-tenant scoping</t>
  </si>
  <si>
    <t>User tidak dapat mengakses atau mengedit departemen milik perusahaan lain (404 Not Found)</t>
  </si>
  <si>
    <t>TC_ORG_006 - Isolasi tenant: akses/edit departemen perusahaan lain ditolak (404)</t>
  </si>
  <si>
    <t>Login sebagai Super Admin Company A.</t>
  </si>
  <si>
    <t>1. Kirim request GET ke rute edit departemen ID milik tenant lain / ID non-existent (999999).</t>
  </si>
  <si>
    <t>Server mengembalikan respon HTTP 404 Not Found sesuai prinsip isolasi multi-tenant.</t>
  </si>
  <si>
    <t>Respon berstatus 404 Not Found dikembalikan oleh server.</t>
  </si>
  <si>
    <t>TC_DEP_005</t>
  </si>
  <si>
    <t>Otorisasi role</t>
  </si>
  <si>
    <t>Non-Admin (Manager) ditolak saat mengakses halaman kelola departemen admin (403 Forbidden)</t>
  </si>
  <si>
    <t>TC_ORG_007 - Non-Admin (Manager) ditolak mengakses kelola departemen admin (403)</t>
  </si>
  <si>
    <t>1. Coba navigasikan peramban langsung ke /admin/departments.</t>
  </si>
  <si>
    <t>Akses ditolak oleh middleware dengan respon HTTP 403 Forbidden.</t>
  </si>
  <si>
    <t>Halaman mengembalikan status HTTP 403 Forbidden.</t>
  </si>
  <si>
    <t>TC_SFT_001</t>
  </si>
  <si>
    <t>Master shift</t>
  </si>
  <si>
    <t>Daftar template shift</t>
  </si>
  <si>
    <t>Admin dapat melihat halaman dan daftar template shift (View List)</t>
  </si>
  <si>
    <t>TC_SCH_005 - Melihat daftar template shift (View List)</t>
  </si>
  <si>
    <t>1. Buka rute /admin/shifts.
2. Periksa tampilan daftar template shift perusahaan.</t>
  </si>
  <si>
    <t>Halaman memuat daftar template shift lengkap dengan jam mulai, jam selesai, dan kuota staf.</t>
  </si>
  <si>
    <t>Tampilan template shift tampil dengan heading dan tabel konfigurasi jam kerja.</t>
  </si>
  <si>
    <t>TC_SFT_002</t>
  </si>
  <si>
    <t>Tambah shift</t>
  </si>
  <si>
    <t>Admin dapat menambahkan template shift baru dengan kuota dan kode warna (Create)</t>
  </si>
  <si>
    <t>TC_SCH_001 - Pembuatan master template shift kerja</t>
  </si>
  <si>
    <t>1. Buka form tambah shift.
2. Isi nama shift, jam kerja, kuota staf, dan pilih warna badge.
3. Submit form.</t>
  </si>
  <si>
    <t>Template shift tersimpan dan muncul dalam daftar template aktif.</t>
  </si>
  <si>
    <t>Template shift berhasil dibuat dan badge warna serta kuota tampil di tabel.</t>
  </si>
  <si>
    <t>TC_SFT_003</t>
  </si>
  <si>
    <t>Update &amp; delete</t>
  </si>
  <si>
    <t>Admin dapat memperbarui dan menghapus template shift (Update &amp; Delete)</t>
  </si>
  <si>
    <t>TC_SCH_006 - Memperbarui dan menghapus template shift (Update &amp; Delete)</t>
  </si>
  <si>
    <t>Template shift tersedia untuk dimodifikasi.</t>
  </si>
  <si>
    <t>1. Klik aksi Edit pada template shift.
2. Ubah kuota atau jam kerja lalu simpan.
3. Lakukan aksi Hapus pada template uji.</t>
  </si>
  <si>
    <t>Perubahan tersimpan dan penghapusan data berhasil memperbarui daftar.</t>
  </si>
  <si>
    <t>Data terupdate di tampilan dan item yang dihapus hilang dari tabel daftar.</t>
  </si>
  <si>
    <t>TC_SFT_004</t>
  </si>
  <si>
    <t>Data template shift terisolasi per perusahaan / tenant (Multi-tenant Scoping)</t>
  </si>
  <si>
    <t>TC_SCH_007 - Isolasi data template shift per perusahaan (Multi-tenant Scoping)</t>
  </si>
  <si>
    <t>Template shift milik Tenant A dan Tenant B tersimpan di database.</t>
  </si>
  <si>
    <t>1. Login sebagai Admin Tenant A.
2. Periksa daftar template dan coba akses ID template milik Tenant B.</t>
  </si>
  <si>
    <t>Hanya template milik Tenant A yang tampil; akses lintas tenant diblokir (404/403).</t>
  </si>
  <si>
    <t>Daftar template terisolasi murni berdasarkan company_id pengguna aktif.</t>
  </si>
  <si>
    <t>TC_SFT_005</t>
  </si>
  <si>
    <t>Validasi rentang jam</t>
  </si>
  <si>
    <t>Validasi gagal jika rentang jam tidak valid atau data wajib tidak lengkap</t>
  </si>
  <si>
    <t>TC_SCH_008 - Validasi template shift gagal: rentang jam tidak valid / data wajib kosong</t>
  </si>
  <si>
    <t>Admin membuka form template shift.</t>
  </si>
  <si>
    <t>1. Masukkan jam selesai yang sama atau lebih awal dari jam mulai.
2. Kosongkan kuota staf.
3. Klik Simpan.</t>
  </si>
  <si>
    <t>Form memunculkan peringatan validasi dan data ditolak untuk disimpan.</t>
  </si>
  <si>
    <t>Sistem memunculkan pesan validasi kesalahan rentang jam dan field wajib.</t>
  </si>
  <si>
    <t>TC_SCH_001</t>
  </si>
  <si>
    <t>Penjadwalan tim</t>
  </si>
  <si>
    <t>Grid roster mingguan</t>
  </si>
  <si>
    <t>Manager dapat melihat grid roster jadwal mingguan tim</t>
  </si>
  <si>
    <t>TC_SCH_009 - Melihat grid roster jadwal mingguan tim</t>
  </si>
  <si>
    <t>1. Buka rute /manager/shifts.
2. Periksa grid kalender mingguan penugasan shift staf.</t>
  </si>
  <si>
    <t>Grid roster mingguan memuat daftar staf, slot shift per hari, dan ringkasan kuota.</t>
  </si>
  <si>
    <t>Matriks roster mingguan tampil lengkap dengan filter departemen dan navigasi minggu.</t>
  </si>
  <si>
    <t>TC_SCH_002</t>
  </si>
  <si>
    <t>Lingkup manajer</t>
  </si>
  <si>
    <t>Tampilan departemen sesuai tipe role Manager (Global Manager vs Regular Manager)</t>
  </si>
  <si>
    <t>TC_SCH_010 - Tampilan departemen sesuai tipe role Manager (Global vs Regular)</t>
  </si>
  <si>
    <t>Manajer reguler hanya memiliki akses pada departemen tempatnya bertugas.</t>
  </si>
  <si>
    <t>1. Login sebagai Regular Manager.
2. Periksa dropdown filter departemen pada builder jadwal.</t>
  </si>
  <si>
    <t>Regular Manager hanya melihat departemennya sendiri, Global Manager melihat seluruh departemen.</t>
  </si>
  <si>
    <t>Filter departemen terkunci secara otomatis pada departemen manajer yang bertugas.</t>
  </si>
  <si>
    <t>TC_SCH_003</t>
  </si>
  <si>
    <t>Publikasi roster</t>
  </si>
  <si>
    <t>Manager dapat menerbitkan jadwal draf menjadi berstatus resmi (Publish Roster)</t>
  </si>
  <si>
    <t>TC_SCH_004 - Publikasi draf jadwal ke kalender pribadi karyawan</t>
  </si>
  <si>
    <t>Roster mingguan berstatus draft telah dibuat oleh builder.</t>
  </si>
  <si>
    <t>1. Buka grid roster tim.
2. Klik tombol Publikasikan Jadwal / Publish Roster.
3. Konfirmasi aksi.</t>
  </si>
  <si>
    <t>Status roster bertransisi dari draft menjadi published dan notifikasi terbit muncul.</t>
  </si>
  <si>
    <t>Jadwal berhasil dipublikasikan dan status badge pada roster berubah menjadi resmi.</t>
  </si>
  <si>
    <t>TC_SCH_004</t>
  </si>
  <si>
    <t>Modifikasi shift</t>
  </si>
  <si>
    <t>Manager dapat mengedit detail shift dan menghapus shift dari roster</t>
  </si>
  <si>
    <t>TC_SCH_011 - Mengedit detail shift dan menghapus shift dari roster</t>
  </si>
  <si>
    <t>Shift penugasan kerja tersedia pada grid builder.</t>
  </si>
  <si>
    <t>1. Klik salah satu slot penugasan staf pada grid.
2. Ubah template shift atau staf yang ditugaskan.
3. Hapus shift draf.</t>
  </si>
  <si>
    <t>Slot penugasan terupdate atau terhapus secara dinamis dari tampilan grid.</t>
  </si>
  <si>
    <t>Data shift berhasil diperbarui dan dihapus dari tampilan roster mingguan.</t>
  </si>
  <si>
    <t>TC_SCH_005</t>
  </si>
  <si>
    <t>Otorisasi shift</t>
  </si>
  <si>
    <t>Penolakan akses saat Manager mencoba memodifikasi shift di luar kewenangan (403 Forbidden)</t>
  </si>
  <si>
    <t>TC_SCH_012 - Penolakan akses saat Manager memodifikasi shift di luar kewenangan (403)</t>
  </si>
  <si>
    <t>Regular Manager mencoba mengubah jadwal departemen lain.</t>
  </si>
  <si>
    <t>1. Kirim request modifikasi shift ID yang berada di luar departemen manajer.</t>
  </si>
  <si>
    <t>Sistem menolak operasi dan mengembalikan respon HTTP 403 Forbidden.</t>
  </si>
  <si>
    <t>Server menolak eksekusi mutasi dengan kode HTTP 403 Forbidden.</t>
  </si>
  <si>
    <t>TC_ATT_001</t>
  </si>
  <si>
    <t>Presensi mandiri</t>
  </si>
  <si>
    <t>Dashboard presensi</t>
  </si>
  <si>
    <t>Karyawan dapat melihat dashboard presensi dan informasi shift</t>
  </si>
  <si>
    <t>TC_ATT_006 - Melihat dashboard presensi dan informasi shift</t>
  </si>
  <si>
    <t>Login sebagai Karyawan (Employee).</t>
  </si>
  <si>
    <t>1. Buka rute /employee/attendance.
2. Periksa tampilan status shift hari ini dan tombol Clock-In.</t>
  </si>
  <si>
    <t>Dashboard presensi memuat ringkasan shift yang ditugaskan dan tombol aksi presensi aktif.</t>
  </si>
  <si>
    <t>Informasi shift harian, status kehadiran terkini, dan tombol Clock-In tampil visible.</t>
  </si>
  <si>
    <t>TC_ATT_002</t>
  </si>
  <si>
    <t>Clock-in</t>
  </si>
  <si>
    <t>Karyawan melakukan Clock-In dan dicegah melakukan double Clock-In</t>
  </si>
  <si>
    <t>TC_ATT_001 - Clock-In tepat waktu (Di dalam toleransi Grace Period 15 Menit)</t>
  </si>
  <si>
    <t>Karyawan memiliki shift hari ini dan belum presensi masuk.</t>
  </si>
  <si>
    <t>1. Klik tombol Clock-In Masuk.
2. Verifikasi status berubah menjadi Sedang Bekerja.
3. Periksa tombol Clock-In kedua kalinya.</t>
  </si>
  <si>
    <t>Presensi masuk tercatat, status menjadi aktif, dan tombol Clock-In dinonaktifkan.</t>
  </si>
  <si>
    <t>Jam Clock-In tercatat pada sistem dan form menolak Clock-In ganda (Double Clock-In Prevention).</t>
  </si>
  <si>
    <t>TC_ATT_003</t>
  </si>
  <si>
    <t>Clock-out</t>
  </si>
  <si>
    <t>Karyawan yang sedang bekerja dapat melakukan Clock-Out untuk mengakhiri shift</t>
  </si>
  <si>
    <t>TC_ATT_004 - Clock-Out normal kerja reguler (8 Jam Kerja)</t>
  </si>
  <si>
    <t>Karyawan dalam status aktif bekerja (telah Clock-In sebelumnya).</t>
  </si>
  <si>
    <t>1. Buka halaman /employee/attendance.
2. Klik tombol Clock-Out Selesai Kerja.</t>
  </si>
  <si>
    <t>Status kehadiran berubah menjadi selesai, total durasi kerja dihitung otomatis oleh sistem.</t>
  </si>
  <si>
    <t>Waktu Clock-Out tersimpan, kalkulasi jam reguler tercatat, status berstatus selesai.</t>
  </si>
  <si>
    <t>TC_ATT_004</t>
  </si>
  <si>
    <t>Validasi presensi</t>
  </si>
  <si>
    <t>Karyawan tidak dapat melakukan Clock-Out jika belum melakukan Clock-In</t>
  </si>
  <si>
    <t>TC_ATT_007 - Clock-Out ditolak jika belum melakukan Clock-In</t>
  </si>
  <si>
    <t>Karyawan belum presensi masuk hari ini.</t>
  </si>
  <si>
    <t>1. Coba lakukan aksi trigger submit form Clock-Out secara langsung.</t>
  </si>
  <si>
    <t>Sistem menolak aksi Clock-Out dan menampilkan notifikasi peringatan wajib Clock-In terlebih dahulu.</t>
  </si>
  <si>
    <t>Sistem memblokir request dan mengembalikan pesan error belum melakukan Clock-In.</t>
  </si>
  <si>
    <t>TC_AVL_001</t>
  </si>
  <si>
    <t>Ketersediaan staf</t>
  </si>
  <si>
    <t>Riwayat halangan</t>
  </si>
  <si>
    <t>Karyawan dapat melihat daftar riwayat halangan pribadinya</t>
  </si>
  <si>
    <t>TC_AVL_004 - Melihat daftar riwayat halangan pribadi</t>
  </si>
  <si>
    <t>1. Buka rute /employee/availability.
2. Periksa tampilan daftar pengajuan halangan dan tombol Ajukan Halangan.</t>
  </si>
  <si>
    <t>Halaman memuat riwayat pengajuan ketersediaan lengkap dengan tanggal, jam, alasan, dan status.</t>
  </si>
  <si>
    <t>Tabel riwayat halangan tampil dengan tombol aksi pengajuan dan badge status teridentifikasi.</t>
  </si>
  <si>
    <t>TC_AVL_002</t>
  </si>
  <si>
    <t>Single date</t>
  </si>
  <si>
    <t>Karyawan dapat mengajukan halangan tanggal tertentu (Single Date)</t>
  </si>
  <si>
    <t>TC_AVL_001 - Pengajuan halangan kerja dengan proteksi Auto-Buffer 30 menit</t>
  </si>
  <si>
    <t>Karyawan berada di form /employee/availability/create.</t>
  </si>
  <si>
    <t>1. Pilih tanggal masa depan.
2. Masukkan jam mulai dan selesai.
3. Isi alasan keperluan.
4. Klik tombol Simpan.</t>
  </si>
  <si>
    <t>Pengajuan berhasil tersimpan dengan status pending_manager dan buffer waktu terpasang otomatis.</t>
  </si>
  <si>
    <t>Pengajuan berhasil disimpan dan muncul pada daftar riwayat ketersediaan karyawan.</t>
  </si>
  <si>
    <t>TC_AVL_003</t>
  </si>
  <si>
    <t>Recurring</t>
  </si>
  <si>
    <t>Karyawan dapat mengajukan halangan berulang mingguan (Recurring)</t>
  </si>
  <si>
    <t>TC_AVL_005 - Pengajuan halangan berulang mingguan (Recurring)</t>
  </si>
  <si>
    <t>Karyawan membuka formulir pengajuan halangan.</t>
  </si>
  <si>
    <t>1. Centang opsi Berulang setiap minggu.
2. Pilih hari berulang (misal: Senin).
3. Masukkan rentang jam dan simpan.</t>
  </si>
  <si>
    <t>Data tersimpan dengan flag is_recurring=1 dan pola hari mingguan terdaftar.</t>
  </si>
  <si>
    <t>Pengajuan berulang berhasil dibuat dan ditandai dengan badge Berulang di tabel riwayat.</t>
  </si>
  <si>
    <t>TC_AVL_004</t>
  </si>
  <si>
    <t>Validasi tanggal &amp; jam</t>
  </si>
  <si>
    <t>Validasi penolakan form jika tanggal lampau atau jam tidak valid</t>
  </si>
  <si>
    <t>TC_AVL_002 - Validasi format jam tidak valid (Jam Selesai &lt; Jam Mulai)</t>
  </si>
  <si>
    <t>Karyawan berada di form pengajuan halangan.</t>
  </si>
  <si>
    <t>1. Masukkan tanggal yang telah lewat (kemarin).
2. Masukkan jam selesai lebih awal dari jam mulai.
3. Klik submit.</t>
  </si>
  <si>
    <t>Form menolak submit dan menampilkan pesan error validasi tanggal masa depan dan urutan jam.</t>
  </si>
  <si>
    <t>Pesan kesalahan validasi tanggal dan jam tampil di antarmuka, data tidak tersimpan.</t>
  </si>
  <si>
    <t>TC_AVL_005</t>
  </si>
  <si>
    <t>Pembatalan halangan</t>
  </si>
  <si>
    <t>Karyawan dapat membatalkan halangan berstatus pending dan dilarang menghapus milik orang lain</t>
  </si>
  <si>
    <t>TC_AVL_006 - Pembatalan halangan berstatus pending &amp; larangan menghapus milik orang lain</t>
  </si>
  <si>
    <t>Pengajuan berstatus pending_manager tersedia.</t>
  </si>
  <si>
    <t>1. Klik tombol Batalkan pada pengajuan pending pribadi.
2. Konfirmasi pembatalan.
3. Coba kirim request delete pada ID halangan orang lain.</t>
  </si>
  <si>
    <t>Pengajuan pribadi berhasil dibatalkan; percobaan menghapus milik orang lain ditolak (403/404).</t>
  </si>
  <si>
    <t>Halangan pribadi terhapus dan aksi penghapusan lintas pengguna diblokir dengan aman.</t>
  </si>
  <si>
    <t>TC_APP_001</t>
  </si>
  <si>
    <t>Persetujuan manajer</t>
  </si>
  <si>
    <t>Antarmuka approval</t>
  </si>
  <si>
    <t>Manager dapat melihat halaman dan daftar persetujuan halangan tim</t>
  </si>
  <si>
    <t>TC_AVL_003 - Persetujuan (Approval) atau Penolakan halangan staf oleh Manajer</t>
  </si>
  <si>
    <t>1. Buka rute /manager/availability.
2. Periksa heading Persetujuan Ketersediaan, counter badge, dan filter tab status.</t>
  </si>
  <si>
    <t>Halaman memuat daftar permohonan staf dengan opsi tab Menunggu, Disetujui, dan Ditolak.</t>
  </si>
  <si>
    <t>Halaman persetujuan ketersediaan tampil lengkap dengan counter pengajuan pending tim.</t>
  </si>
  <si>
    <t>TC_APP_002</t>
  </si>
  <si>
    <t>Filter tab status</t>
  </si>
  <si>
    <t>Filter status persetujuan menampilkan daftar halangan yang relevan</t>
  </si>
  <si>
    <t>Manajer berada di /manager/availability.</t>
  </si>
  <si>
    <t>1. Klik tab filter Disetujui.
2. Verifikasi parameter query URL status=approved.
3. Klik tab filter Ditolak dan periksa status=rejected.</t>
  </si>
  <si>
    <t>URL dan tabel daftar beralih menampilkan data sesuai filter status yang dipilih.</t>
  </si>
  <si>
    <t>Tampilan tabel diperbarui dinamis sesuai status filter tanpa kendala rendering.</t>
  </si>
  <si>
    <t>TC_APP_003</t>
  </si>
  <si>
    <t>Otorisasi approval</t>
  </si>
  <si>
    <t>Karyawan biasa (role employee) ditolak saat mengakses approval manajer (403 Forbidden)</t>
  </si>
  <si>
    <t>Login sebagai Karyawan biasa (Employee).</t>
  </si>
  <si>
    <t>1. Akses langsung URL /manager/availability.</t>
  </si>
  <si>
    <t>Akses dicegah oleh middleware role manager dan mengembalikan kode 403 Forbidden.</t>
  </si>
  <si>
    <t>Server menolak akses dengan status HTTP 403 Forbidden.</t>
  </si>
  <si>
    <t>TC_TMR_001</t>
  </si>
  <si>
    <t>Timesheet &amp; Laporan</t>
  </si>
  <si>
    <t>Laporan timesheet</t>
  </si>
  <si>
    <t>Admin dapat membuka dan melihat halaman laporan rekapitulasi timesheet</t>
  </si>
  <si>
    <t>TC_RPT_003 - Membuka dan melihat halaman laporan rekapitulasi timesheet</t>
  </si>
  <si>
    <t>1. Buka rute /admin/reports/timesheet.
2. Periksa tampilan filter periode dan tabel ringkasan jam kerja staf.</t>
  </si>
  <si>
    <t>Halaman memuat rekapitulasi total jam kerja, jam lembur, keterlambatan, dan daftar staf.</t>
  </si>
  <si>
    <t>Tampilan laporan timesheet termuat lengkap dengan metrik agregasi jam kerja tim.</t>
  </si>
  <si>
    <t>TC_TMR_002</t>
  </si>
  <si>
    <t>Filter timesheet</t>
  </si>
  <si>
    <t>Filter laporan timesheet berdasarkan bulan, tahun, dan departemen</t>
  </si>
  <si>
    <t>TC_RPT_001 - Filter rekapitulasi timesheet tim berdasarkan bulan dan departemen</t>
  </si>
  <si>
    <t>Admin berada di halaman rekap timesheet.</t>
  </si>
  <si>
    <t>1. Pilih bulan tertentu pada dropdown filter.
2. Pilih filter departemen tertentu.
3. Klik tombol Terapkan Filter.</t>
  </si>
  <si>
    <t>Tabel rekapitulasi menampilkan data jam kerja terfilter sesuai kriteria yang dipilih.</t>
  </si>
  <si>
    <t>Data timesheet berhasil difilter dan tabel menyajikan kalkulasi sesuai periode terpilih.</t>
  </si>
  <si>
    <t>TC_TMR_003</t>
  </si>
  <si>
    <t>Ekspor Excel</t>
  </si>
  <si>
    <t>Admin dapat mengunduh rekapitulasi timesheet ke format Excel (.xlsx)</t>
  </si>
  <si>
    <t>TC_RPT_002 - Ekspor laporan rekapitulasi timesheet ke format spreadsheet Excel / PDF</t>
  </si>
  <si>
    <t>Admin berada di halaman laporan timesheet.</t>
  </si>
  <si>
    <t>1. Klik tombol Ekspor Excel (/admin/reports/timesheet/export-excel).
2. Tangkap event unduhan file.</t>
  </si>
  <si>
    <t>File spreadsheet terunduh dengan nama berekstensi .xlsx dan header binary spreadsheet.</t>
  </si>
  <si>
    <t>Download terdeteksi berhasil menghasilkan file Excel dengan ukuran konten valid.</t>
  </si>
  <si>
    <t>TC_TMR_004</t>
  </si>
  <si>
    <t>Ekspor PDF</t>
  </si>
  <si>
    <t>Admin dapat mengunduh rekapitulasi timesheet ke format PDF (.pdf)</t>
  </si>
  <si>
    <t>1. Klik tombol Ekspor PDF (/admin/reports/timesheet/export-pdf).
2. Verifikasi stream download berkas PDF.</t>
  </si>
  <si>
    <t>Berkas laporan berformat PDF berhasil digenerate dan dikirimkan ke peramban.</t>
  </si>
  <si>
    <t>Download berkas PDF sukses dengan format dokumen cetak siap arsip.</t>
  </si>
  <si>
    <t>TC_TMR_005</t>
  </si>
  <si>
    <t>Otorisasi laporan</t>
  </si>
  <si>
    <t>Karyawan biasa (role employee) ditolak saat mengakses laporan timesheet admin (403 Forbidden)</t>
  </si>
  <si>
    <t>1. Navigasikan URL secara langsung ke /admin/reports/timesheet.</t>
  </si>
  <si>
    <t>Akses ditolak oleh middleware admin dengan status HTTP 403 Forbidden.</t>
  </si>
  <si>
    <t>Respon 403 Forbidden dikembalikan dan karyawan tidak dapat melihat laporan finansial timesheet.</t>
  </si>
  <si>
    <t>TC_REG_001</t>
  </si>
  <si>
    <t>Pengaturan regulasi</t>
  </si>
  <si>
    <t>Parameter regulasi</t>
  </si>
  <si>
    <t>Super Admin dapat melihat halaman pengaturan regulasi dan jam kerja</t>
  </si>
  <si>
    <t>TC_REG_001 - Super Admin melihat dan memperbarui parameter regulasi kerja tenant (jam reguler, lembur, buffer, grace period)</t>
  </si>
  <si>
    <t>1. Buka rute /admin/settings.
2. Periksa form parameter jam kerja reguler, lembur, grace period, dan auto-clockout.</t>
  </si>
  <si>
    <t>Halaman pengaturan perusahaan terbuka dengan nilai konfigurasi standar regulasi PP No. 35/2021.</t>
  </si>
  <si>
    <t>Tampilan form konfigurasi memuat field jam reguler, jam lembur, dan buffer kepatuhan.</t>
  </si>
  <si>
    <t>TC_REG_002</t>
  </si>
  <si>
    <t>Pembaruan regulasi</t>
  </si>
  <si>
    <t>Super Admin dapat memperbarui parameter regulasi kerja perusahaan</t>
  </si>
  <si>
    <t>Super Admin berada di form /admin/settings.</t>
  </si>
  <si>
    <t>1. Ubah nilai maksimal jam reguler menjadi 40 dan jam lembur menjadi 14.
2. Klik tombol Simpan Pengaturan.</t>
  </si>
  <si>
    <t>Data tersimpan ke tabel company_settings dan pesan sukses muncul di antarmuka.</t>
  </si>
  <si>
    <t>Notifikasi sukses Pengaturan perusahaan berhasil diperbarui muncul dan nilai tersimpan permanen.</t>
  </si>
  <si>
    <t>TC_REG_003</t>
  </si>
  <si>
    <t>Validasi batas regulasi</t>
  </si>
  <si>
    <t>Penolakan nilai batas jam kerja tidak valid atau melebihi batas regulasi</t>
  </si>
  <si>
    <t>TC_REG_002 - Validasi nilai batas jam kerja atau buffer bernilai negatif / melebihi batas wajar ditolak</t>
  </si>
  <si>
    <t>Super Admin berada di halaman pengaturan.</t>
  </si>
  <si>
    <t>1. Masukkan nilai jam reguler melebihi batas wajar (misal: 65 jam &gt; batas regulasi 60 jam).
2. Klik tombol Simpan Pengaturan.</t>
  </si>
  <si>
    <t>Form menolak penyimpanan dan alert peringatan validasi error ditampilkan.</t>
  </si>
  <si>
    <t>Sistem menampilkan container alert error validasi dan perubahan dibatalkan.</t>
  </si>
  <si>
    <t>TC_REG_004</t>
  </si>
  <si>
    <t>Otorisasi regulasi</t>
  </si>
  <si>
    <t>Non-Admin (Manager) ditolak saat mengakses pengaturan perusahaan (403 Forbidden)</t>
  </si>
  <si>
    <t>TC_REG_003 - Proteksi akses non-Super Admin (Employee/Manager) terhadap pengaturan regulasi perusahaan</t>
  </si>
  <si>
    <t>1. Coba navigasikan URL peramban secara langsung ke /admin/settings.</t>
  </si>
  <si>
    <t>Akses diblokir oleh middleware dengan status kode HTTP 403 Forbidden.</t>
  </si>
  <si>
    <t>Server menolak akses dengan respon HTTP 403 Forbidden.</t>
  </si>
  <si>
    <t>TC_SWP_001</t>
  </si>
  <si>
    <t>Pertukaran shift</t>
  </si>
  <si>
    <t>Navigasi tukar shift</t>
  </si>
  <si>
    <t>Karyawan dapat mengakses antarmuka permohonan pertukaran shift kerja</t>
  </si>
  <si>
    <t>TC_SWP_001 - Pengajuan permohonan tukar shift ke rekan kerja</t>
  </si>
  <si>
    <t>1. Akses menu /employee/swaps.
2. Periksa ketersediaan antarmuka pengajuan dan riwayat permohonan tukar shift.</t>
  </si>
  <si>
    <t>Halaman tukar shift terbuka menampilkan opsi permohonan ke rekan kerja se-departemen.</t>
  </si>
  <si>
    <t>Halaman /employee/swaps berhasil dibuka dengan elemen antarmuka tukar shift siap pakai.</t>
  </si>
  <si>
    <t>TC_SWP_002</t>
  </si>
  <si>
    <t>Panel manajer</t>
  </si>
  <si>
    <t>Manager dapat mengakses panel verifikasi dan persetujuan tukar shift staf</t>
  </si>
  <si>
    <t>TC_SWP_004 - Persetujuan final manajer &amp; mutasi kepemilikan jadwal atomik</t>
  </si>
  <si>
    <t>1. Akses menu /manager/swaps.
2. Periksa daftar antrean verifikasi pertukaran shift antar bawahan.</t>
  </si>
  <si>
    <t>Panel persetujuan pertukaran shift terbuka dengan opsi verifikasi jadwal.</t>
  </si>
  <si>
    <t>Halaman /manager/swaps dapat diakses sukses dengan antarmuka peninjauan mutasi shift.</t>
  </si>
  <si>
    <t>TC_SCH_006</t>
  </si>
  <si>
    <t>Kalender pribadi</t>
  </si>
  <si>
    <t>Karyawan dapat melihat jadwal kerja resmi yang dipublikasikan pada kalender kerja</t>
  </si>
  <si>
    <t>Roster jadwal telah dipublikasikan oleh Manajer.</t>
  </si>
  <si>
    <t>1. Login sebagai Karyawan.
2. Buka rute kalender jadwal kerja (/employee/schedule).</t>
  </si>
  <si>
    <t>Halaman kalender memuat rincian tanggal, jam shift, dan posisi penugasan aktif karyawan.</t>
  </si>
  <si>
    <t>Seluruh penugasan shift terpublikasi tampil jelas pada kalender jadwal staf.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</si>
</sst>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7">
    <font>
      <sz val="11.0"/>
      <color theme="1"/>
      <name val="Calibri"/>
      <scheme val="minor"/>
    </font>
    <font>
      <b/>
      <sz val="10.0"/>
      <color rgb="FFFFFFFF"/>
      <name val="Verdana"/>
    </font>
    <font/>
    <font>
      <b/>
      <sz val="10.0"/>
      <color rgb="FF000000"/>
      <name val="Verdana"/>
    </font>
    <font>
      <b/>
      <sz val="10.0"/>
      <color rgb="FF002060"/>
      <name val="Verdana"/>
    </font>
    <font>
      <sz val="9.0"/>
      <color rgb="FF000000"/>
      <name val="Verdana"/>
    </font>
    <font>
      <b/>
      <sz val="9.0"/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8EEF7"/>
        <bgColor rgb="FFE8EEF7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164" xfId="0" applyAlignment="1" applyBorder="1" applyFill="1" applyFont="1" applyNumberFormat="1">
      <alignment horizontal="center" shrinkToFit="0" vertical="center" wrapText="1"/>
    </xf>
    <xf borderId="4" fillId="3" fontId="4" numFmtId="165" xfId="0" applyAlignment="1" applyBorder="1" applyFill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>
        <b/>
        <sz val="9.0"/>
        <color rgb="FF276A3C"/>
        <name val="Verdana"/>
      </font>
      <fill>
        <patternFill patternType="solid">
          <fgColor rgb="FFE2EFDA"/>
          <bgColor rgb="FFE2EFDA"/>
        </patternFill>
      </fill>
      <border/>
    </dxf>
    <dxf>
      <font>
        <b/>
        <sz val="9.0"/>
        <color rgb="FFC00000"/>
        <name val="Verdana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4.0"/>
    <col customWidth="1" min="3" max="3" width="22.0"/>
    <col customWidth="1" min="4" max="4" width="24.0"/>
    <col customWidth="1" min="5" max="5" width="42.0"/>
    <col customWidth="1" min="6" max="6" width="35.0"/>
    <col customWidth="1" min="7" max="7" width="32.0"/>
    <col customWidth="1" min="8" max="8" width="48.0"/>
    <col customWidth="1" min="9" max="9" width="45.0"/>
    <col customWidth="1" min="10" max="10" width="46.0"/>
    <col customWidth="1" min="11" max="12" width="14.0"/>
    <col customWidth="1" min="13" max="13" width="24.0"/>
    <col customWidth="1" min="14" max="26" width="8.71"/>
  </cols>
  <sheetData>
    <row r="2" ht="19.5" customHeight="1">
      <c r="A2" s="1" t="s">
        <v>0</v>
      </c>
      <c r="B2" s="2"/>
      <c r="C2" s="3"/>
      <c r="D2" s="4" t="s">
        <v>1</v>
      </c>
      <c r="E2" s="2"/>
      <c r="F2" s="2"/>
      <c r="G2" s="3"/>
      <c r="I2" s="5" t="s">
        <v>2</v>
      </c>
      <c r="J2" s="6">
        <f>COUNTA(B10:B69)</f>
        <v>60</v>
      </c>
    </row>
    <row r="3" ht="19.5" customHeight="1">
      <c r="A3" s="1" t="s">
        <v>3</v>
      </c>
      <c r="B3" s="2"/>
      <c r="C3" s="3"/>
      <c r="D3" s="4" t="s">
        <v>4</v>
      </c>
      <c r="E3" s="2"/>
      <c r="F3" s="2"/>
      <c r="G3" s="3"/>
      <c r="I3" s="5" t="s">
        <v>5</v>
      </c>
      <c r="J3" s="6">
        <f>COUNTIF(K10:K69,"PASS")</f>
        <v>60</v>
      </c>
    </row>
    <row r="4" ht="36.0" customHeight="1">
      <c r="A4" s="1" t="s">
        <v>6</v>
      </c>
      <c r="B4" s="2"/>
      <c r="C4" s="3"/>
      <c r="D4" s="4" t="s">
        <v>7</v>
      </c>
      <c r="E4" s="2"/>
      <c r="F4" s="2"/>
      <c r="G4" s="3"/>
      <c r="I4" s="5" t="s">
        <v>8</v>
      </c>
      <c r="J4" s="6">
        <f>COUNTIF(K10:K69,"FAIL")</f>
        <v>0</v>
      </c>
    </row>
    <row r="5" ht="19.5" customHeight="1">
      <c r="A5" s="1" t="s">
        <v>9</v>
      </c>
      <c r="B5" s="2"/>
      <c r="C5" s="3"/>
      <c r="D5" s="4" t="s">
        <v>10</v>
      </c>
      <c r="E5" s="2"/>
      <c r="F5" s="2"/>
      <c r="G5" s="3"/>
      <c r="I5" s="5" t="s">
        <v>11</v>
      </c>
      <c r="J5" s="7">
        <f>IF(J2=0,0,J3/J2)</f>
        <v>1</v>
      </c>
    </row>
    <row r="6" ht="19.5" customHeight="1">
      <c r="A6" s="1" t="s">
        <v>12</v>
      </c>
      <c r="B6" s="2"/>
      <c r="C6" s="3"/>
      <c r="D6" s="4" t="s">
        <v>13</v>
      </c>
      <c r="E6" s="2"/>
      <c r="F6" s="2"/>
      <c r="G6" s="3"/>
      <c r="I6" s="5" t="s">
        <v>14</v>
      </c>
      <c r="J6" s="8">
        <f>SUM(L10:L69)</f>
        <v>101.3</v>
      </c>
    </row>
    <row r="9" ht="36.0" customHeight="1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</row>
    <row r="10" ht="36.0" customHeight="1">
      <c r="A10" s="9">
        <v>1.0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  <c r="H10" s="10" t="s">
        <v>34</v>
      </c>
      <c r="I10" s="10" t="s">
        <v>35</v>
      </c>
      <c r="J10" s="10" t="s">
        <v>36</v>
      </c>
      <c r="K10" s="11" t="s">
        <v>5</v>
      </c>
      <c r="L10" s="12">
        <v>1.2</v>
      </c>
      <c r="M10" s="10"/>
    </row>
    <row r="11" ht="36.0" customHeight="1">
      <c r="A11" s="9">
        <v>2.0</v>
      </c>
      <c r="B11" s="10" t="s">
        <v>37</v>
      </c>
      <c r="C11" s="10" t="s">
        <v>29</v>
      </c>
      <c r="D11" s="10" t="s">
        <v>38</v>
      </c>
      <c r="E11" s="10" t="s">
        <v>39</v>
      </c>
      <c r="F11" s="10" t="s">
        <v>40</v>
      </c>
      <c r="G11" s="10" t="s">
        <v>41</v>
      </c>
      <c r="H11" s="10" t="s">
        <v>42</v>
      </c>
      <c r="I11" s="10" t="s">
        <v>43</v>
      </c>
      <c r="J11" s="10" t="s">
        <v>44</v>
      </c>
      <c r="K11" s="11" t="s">
        <v>5</v>
      </c>
      <c r="L11" s="12">
        <v>1.4</v>
      </c>
      <c r="M11" s="10"/>
    </row>
    <row r="12" ht="36.0" customHeight="1">
      <c r="A12" s="9">
        <v>3.0</v>
      </c>
      <c r="B12" s="10" t="s">
        <v>45</v>
      </c>
      <c r="C12" s="10" t="s">
        <v>29</v>
      </c>
      <c r="D12" s="10" t="s">
        <v>46</v>
      </c>
      <c r="E12" s="10" t="s">
        <v>47</v>
      </c>
      <c r="F12" s="10" t="s">
        <v>48</v>
      </c>
      <c r="G12" s="10" t="s">
        <v>49</v>
      </c>
      <c r="H12" s="10" t="s">
        <v>50</v>
      </c>
      <c r="I12" s="10" t="s">
        <v>51</v>
      </c>
      <c r="J12" s="10" t="s">
        <v>52</v>
      </c>
      <c r="K12" s="11" t="s">
        <v>5</v>
      </c>
      <c r="L12" s="12">
        <v>1.1</v>
      </c>
      <c r="M12" s="10"/>
    </row>
    <row r="13" ht="36.0" customHeight="1">
      <c r="A13" s="9">
        <v>4.0</v>
      </c>
      <c r="B13" s="10" t="s">
        <v>53</v>
      </c>
      <c r="C13" s="10" t="s">
        <v>54</v>
      </c>
      <c r="D13" s="10" t="s">
        <v>55</v>
      </c>
      <c r="E13" s="10" t="s">
        <v>56</v>
      </c>
      <c r="F13" s="10" t="s">
        <v>32</v>
      </c>
      <c r="G13" s="10" t="s">
        <v>57</v>
      </c>
      <c r="H13" s="10" t="s">
        <v>58</v>
      </c>
      <c r="I13" s="10" t="s">
        <v>59</v>
      </c>
      <c r="J13" s="10" t="s">
        <v>60</v>
      </c>
      <c r="K13" s="11" t="s">
        <v>5</v>
      </c>
      <c r="L13" s="12">
        <v>0.8</v>
      </c>
      <c r="M13" s="10"/>
    </row>
    <row r="14" ht="36.0" customHeight="1">
      <c r="A14" s="9">
        <v>5.0</v>
      </c>
      <c r="B14" s="10" t="s">
        <v>61</v>
      </c>
      <c r="C14" s="10" t="s">
        <v>54</v>
      </c>
      <c r="D14" s="10" t="s">
        <v>62</v>
      </c>
      <c r="E14" s="10" t="s">
        <v>63</v>
      </c>
      <c r="F14" s="10" t="s">
        <v>64</v>
      </c>
      <c r="G14" s="10" t="s">
        <v>65</v>
      </c>
      <c r="H14" s="10" t="s">
        <v>66</v>
      </c>
      <c r="I14" s="10" t="s">
        <v>67</v>
      </c>
      <c r="J14" s="10" t="s">
        <v>68</v>
      </c>
      <c r="K14" s="11" t="s">
        <v>5</v>
      </c>
      <c r="L14" s="12">
        <v>0.7</v>
      </c>
      <c r="M14" s="10"/>
    </row>
    <row r="15" ht="36.0" customHeight="1">
      <c r="A15" s="9">
        <v>6.0</v>
      </c>
      <c r="B15" s="10" t="s">
        <v>69</v>
      </c>
      <c r="C15" s="10" t="s">
        <v>54</v>
      </c>
      <c r="D15" s="10" t="s">
        <v>70</v>
      </c>
      <c r="E15" s="10" t="s">
        <v>71</v>
      </c>
      <c r="F15" s="10" t="s">
        <v>40</v>
      </c>
      <c r="G15" s="10" t="s">
        <v>72</v>
      </c>
      <c r="H15" s="10" t="s">
        <v>73</v>
      </c>
      <c r="I15" s="10" t="s">
        <v>74</v>
      </c>
      <c r="J15" s="10" t="s">
        <v>75</v>
      </c>
      <c r="K15" s="11" t="s">
        <v>5</v>
      </c>
      <c r="L15" s="12">
        <v>2.1</v>
      </c>
      <c r="M15" s="10"/>
    </row>
    <row r="16" ht="36.0" customHeight="1">
      <c r="A16" s="9">
        <v>7.0</v>
      </c>
      <c r="B16" s="10" t="s">
        <v>76</v>
      </c>
      <c r="C16" s="10" t="s">
        <v>54</v>
      </c>
      <c r="D16" s="10" t="s">
        <v>70</v>
      </c>
      <c r="E16" s="10" t="s">
        <v>77</v>
      </c>
      <c r="F16" s="10" t="s">
        <v>78</v>
      </c>
      <c r="G16" s="10" t="s">
        <v>79</v>
      </c>
      <c r="H16" s="10" t="s">
        <v>80</v>
      </c>
      <c r="I16" s="10" t="s">
        <v>81</v>
      </c>
      <c r="J16" s="10" t="s">
        <v>82</v>
      </c>
      <c r="K16" s="11" t="s">
        <v>5</v>
      </c>
      <c r="L16" s="12">
        <v>1.9</v>
      </c>
      <c r="M16" s="10"/>
    </row>
    <row r="17" ht="36.0" customHeight="1">
      <c r="A17" s="9">
        <v>8.0</v>
      </c>
      <c r="B17" s="10" t="s">
        <v>83</v>
      </c>
      <c r="C17" s="10" t="s">
        <v>54</v>
      </c>
      <c r="D17" s="10" t="s">
        <v>70</v>
      </c>
      <c r="E17" s="10" t="s">
        <v>84</v>
      </c>
      <c r="F17" s="10" t="s">
        <v>85</v>
      </c>
      <c r="G17" s="10" t="s">
        <v>86</v>
      </c>
      <c r="H17" s="10" t="s">
        <v>87</v>
      </c>
      <c r="I17" s="10" t="s">
        <v>88</v>
      </c>
      <c r="J17" s="10" t="s">
        <v>89</v>
      </c>
      <c r="K17" s="11" t="s">
        <v>5</v>
      </c>
      <c r="L17" s="12">
        <v>1.8</v>
      </c>
      <c r="M17" s="10"/>
    </row>
    <row r="18" ht="36.0" customHeight="1">
      <c r="A18" s="9">
        <v>9.0</v>
      </c>
      <c r="B18" s="10" t="s">
        <v>90</v>
      </c>
      <c r="C18" s="10" t="s">
        <v>54</v>
      </c>
      <c r="D18" s="10" t="s">
        <v>91</v>
      </c>
      <c r="E18" s="10" t="s">
        <v>92</v>
      </c>
      <c r="F18" s="10" t="s">
        <v>93</v>
      </c>
      <c r="G18" s="10" t="s">
        <v>94</v>
      </c>
      <c r="H18" s="10" t="s">
        <v>95</v>
      </c>
      <c r="I18" s="10" t="s">
        <v>96</v>
      </c>
      <c r="J18" s="10" t="s">
        <v>97</v>
      </c>
      <c r="K18" s="11" t="s">
        <v>5</v>
      </c>
      <c r="L18" s="12">
        <v>0.9</v>
      </c>
      <c r="M18" s="10"/>
    </row>
    <row r="19" ht="36.0" customHeight="1">
      <c r="A19" s="9">
        <v>10.0</v>
      </c>
      <c r="B19" s="10" t="s">
        <v>98</v>
      </c>
      <c r="C19" s="10" t="s">
        <v>54</v>
      </c>
      <c r="D19" s="10" t="s">
        <v>91</v>
      </c>
      <c r="E19" s="10" t="s">
        <v>99</v>
      </c>
      <c r="F19" s="10" t="s">
        <v>100</v>
      </c>
      <c r="G19" s="10" t="s">
        <v>101</v>
      </c>
      <c r="H19" s="10" t="s">
        <v>102</v>
      </c>
      <c r="I19" s="10" t="s">
        <v>103</v>
      </c>
      <c r="J19" s="10" t="s">
        <v>104</v>
      </c>
      <c r="K19" s="11" t="s">
        <v>5</v>
      </c>
      <c r="L19" s="12">
        <v>0.8</v>
      </c>
      <c r="M19" s="10"/>
    </row>
    <row r="20" ht="36.0" customHeight="1">
      <c r="A20" s="9">
        <v>11.0</v>
      </c>
      <c r="B20" s="10" t="s">
        <v>105</v>
      </c>
      <c r="C20" s="10" t="s">
        <v>54</v>
      </c>
      <c r="D20" s="10" t="s">
        <v>106</v>
      </c>
      <c r="E20" s="10" t="s">
        <v>107</v>
      </c>
      <c r="F20" s="10" t="s">
        <v>108</v>
      </c>
      <c r="G20" s="10" t="s">
        <v>109</v>
      </c>
      <c r="H20" s="10" t="s">
        <v>110</v>
      </c>
      <c r="I20" s="10" t="s">
        <v>111</v>
      </c>
      <c r="J20" s="10" t="s">
        <v>112</v>
      </c>
      <c r="K20" s="11" t="s">
        <v>5</v>
      </c>
      <c r="L20" s="12">
        <v>0.5</v>
      </c>
      <c r="M20" s="10"/>
    </row>
    <row r="21" ht="36.0" customHeight="1">
      <c r="A21" s="9">
        <v>12.0</v>
      </c>
      <c r="B21" s="10" t="s">
        <v>113</v>
      </c>
      <c r="C21" s="10" t="s">
        <v>54</v>
      </c>
      <c r="D21" s="10" t="s">
        <v>114</v>
      </c>
      <c r="E21" s="10" t="s">
        <v>115</v>
      </c>
      <c r="F21" s="10" t="s">
        <v>116</v>
      </c>
      <c r="G21" s="10" t="s">
        <v>117</v>
      </c>
      <c r="H21" s="10" t="s">
        <v>118</v>
      </c>
      <c r="I21" s="10" t="s">
        <v>119</v>
      </c>
      <c r="J21" s="10" t="s">
        <v>120</v>
      </c>
      <c r="K21" s="11" t="s">
        <v>5</v>
      </c>
      <c r="L21" s="12">
        <v>1.6</v>
      </c>
      <c r="M21" s="10"/>
    </row>
    <row r="22" ht="36.0" customHeight="1">
      <c r="A22" s="9">
        <v>13.0</v>
      </c>
      <c r="B22" s="10" t="s">
        <v>121</v>
      </c>
      <c r="C22" s="10" t="s">
        <v>54</v>
      </c>
      <c r="D22" s="10" t="s">
        <v>122</v>
      </c>
      <c r="E22" s="10" t="s">
        <v>123</v>
      </c>
      <c r="F22" s="10" t="s">
        <v>124</v>
      </c>
      <c r="G22" s="10" t="s">
        <v>125</v>
      </c>
      <c r="H22" s="10" t="s">
        <v>126</v>
      </c>
      <c r="I22" s="10" t="s">
        <v>127</v>
      </c>
      <c r="J22" s="10" t="s">
        <v>128</v>
      </c>
      <c r="K22" s="11" t="s">
        <v>5</v>
      </c>
      <c r="L22" s="12">
        <v>0.9</v>
      </c>
      <c r="M22" s="10"/>
    </row>
    <row r="23" ht="36.0" customHeight="1">
      <c r="A23" s="9">
        <v>14.0</v>
      </c>
      <c r="B23" s="10" t="s">
        <v>129</v>
      </c>
      <c r="C23" s="10" t="s">
        <v>54</v>
      </c>
      <c r="D23" s="10" t="s">
        <v>130</v>
      </c>
      <c r="E23" s="10" t="s">
        <v>131</v>
      </c>
      <c r="F23" s="10" t="s">
        <v>132</v>
      </c>
      <c r="G23" s="10" t="s">
        <v>133</v>
      </c>
      <c r="H23" s="10" t="s">
        <v>134</v>
      </c>
      <c r="I23" s="10" t="s">
        <v>135</v>
      </c>
      <c r="J23" s="10" t="s">
        <v>136</v>
      </c>
      <c r="K23" s="11" t="s">
        <v>5</v>
      </c>
      <c r="L23" s="12">
        <v>0.7</v>
      </c>
      <c r="M23" s="10"/>
    </row>
    <row r="24" ht="36.0" customHeight="1">
      <c r="A24" s="9">
        <v>15.0</v>
      </c>
      <c r="B24" s="10" t="s">
        <v>137</v>
      </c>
      <c r="C24" s="10" t="s">
        <v>138</v>
      </c>
      <c r="D24" s="10" t="s">
        <v>139</v>
      </c>
      <c r="E24" s="10" t="s">
        <v>140</v>
      </c>
      <c r="F24" s="10" t="s">
        <v>141</v>
      </c>
      <c r="G24" s="10" t="s">
        <v>142</v>
      </c>
      <c r="H24" s="10" t="s">
        <v>143</v>
      </c>
      <c r="I24" s="10" t="s">
        <v>144</v>
      </c>
      <c r="J24" s="10" t="s">
        <v>145</v>
      </c>
      <c r="K24" s="11" t="s">
        <v>5</v>
      </c>
      <c r="L24" s="12">
        <v>2.3</v>
      </c>
      <c r="M24" s="10"/>
    </row>
    <row r="25" ht="36.0" customHeight="1">
      <c r="A25" s="9">
        <v>16.0</v>
      </c>
      <c r="B25" s="10" t="s">
        <v>146</v>
      </c>
      <c r="C25" s="10" t="s">
        <v>138</v>
      </c>
      <c r="D25" s="10" t="s">
        <v>139</v>
      </c>
      <c r="E25" s="10" t="s">
        <v>147</v>
      </c>
      <c r="F25" s="10" t="s">
        <v>148</v>
      </c>
      <c r="G25" s="10" t="s">
        <v>149</v>
      </c>
      <c r="H25" s="10" t="s">
        <v>150</v>
      </c>
      <c r="I25" s="10" t="s">
        <v>151</v>
      </c>
      <c r="J25" s="10" t="s">
        <v>152</v>
      </c>
      <c r="K25" s="11" t="s">
        <v>5</v>
      </c>
      <c r="L25" s="12">
        <v>2.2</v>
      </c>
      <c r="M25" s="10"/>
    </row>
    <row r="26" ht="36.0" customHeight="1">
      <c r="A26" s="9">
        <v>17.0</v>
      </c>
      <c r="B26" s="10" t="s">
        <v>153</v>
      </c>
      <c r="C26" s="10" t="s">
        <v>138</v>
      </c>
      <c r="D26" s="10" t="s">
        <v>139</v>
      </c>
      <c r="E26" s="10" t="s">
        <v>154</v>
      </c>
      <c r="F26" s="10" t="s">
        <v>155</v>
      </c>
      <c r="G26" s="10" t="s">
        <v>156</v>
      </c>
      <c r="H26" s="10" t="s">
        <v>157</v>
      </c>
      <c r="I26" s="10" t="s">
        <v>158</v>
      </c>
      <c r="J26" s="10" t="s">
        <v>159</v>
      </c>
      <c r="K26" s="11" t="s">
        <v>5</v>
      </c>
      <c r="L26" s="12">
        <v>2.4</v>
      </c>
      <c r="M26" s="10"/>
    </row>
    <row r="27" ht="36.0" customHeight="1">
      <c r="A27" s="9">
        <v>18.0</v>
      </c>
      <c r="B27" s="10" t="s">
        <v>160</v>
      </c>
      <c r="C27" s="10" t="s">
        <v>161</v>
      </c>
      <c r="D27" s="10" t="s">
        <v>162</v>
      </c>
      <c r="E27" s="10" t="s">
        <v>163</v>
      </c>
      <c r="F27" s="10" t="s">
        <v>164</v>
      </c>
      <c r="G27" s="10" t="s">
        <v>165</v>
      </c>
      <c r="H27" s="10" t="s">
        <v>166</v>
      </c>
      <c r="I27" s="10" t="s">
        <v>167</v>
      </c>
      <c r="J27" s="10" t="s">
        <v>168</v>
      </c>
      <c r="K27" s="11" t="s">
        <v>5</v>
      </c>
      <c r="L27" s="12">
        <v>1.3</v>
      </c>
      <c r="M27" s="10"/>
    </row>
    <row r="28" ht="36.0" customHeight="1">
      <c r="A28" s="9">
        <v>19.0</v>
      </c>
      <c r="B28" s="10" t="s">
        <v>169</v>
      </c>
      <c r="C28" s="10" t="s">
        <v>161</v>
      </c>
      <c r="D28" s="10" t="s">
        <v>170</v>
      </c>
      <c r="E28" s="10" t="s">
        <v>171</v>
      </c>
      <c r="F28" s="10" t="s">
        <v>172</v>
      </c>
      <c r="G28" s="10" t="s">
        <v>173</v>
      </c>
      <c r="H28" s="10" t="s">
        <v>174</v>
      </c>
      <c r="I28" s="10" t="s">
        <v>175</v>
      </c>
      <c r="J28" s="10" t="s">
        <v>176</v>
      </c>
      <c r="K28" s="11" t="s">
        <v>5</v>
      </c>
      <c r="L28" s="12">
        <v>1.7</v>
      </c>
      <c r="M28" s="10"/>
    </row>
    <row r="29" ht="36.0" customHeight="1">
      <c r="A29" s="9">
        <v>20.0</v>
      </c>
      <c r="B29" s="10" t="s">
        <v>177</v>
      </c>
      <c r="C29" s="10" t="s">
        <v>161</v>
      </c>
      <c r="D29" s="10" t="s">
        <v>178</v>
      </c>
      <c r="E29" s="10" t="s">
        <v>179</v>
      </c>
      <c r="F29" s="10" t="s">
        <v>180</v>
      </c>
      <c r="G29" s="10" t="s">
        <v>181</v>
      </c>
      <c r="H29" s="10" t="s">
        <v>182</v>
      </c>
      <c r="I29" s="10" t="s">
        <v>183</v>
      </c>
      <c r="J29" s="10" t="s">
        <v>184</v>
      </c>
      <c r="K29" s="11" t="s">
        <v>5</v>
      </c>
      <c r="L29" s="12">
        <v>1.1</v>
      </c>
      <c r="M29" s="10"/>
    </row>
    <row r="30" ht="36.0" customHeight="1">
      <c r="A30" s="9">
        <v>21.0</v>
      </c>
      <c r="B30" s="10" t="s">
        <v>185</v>
      </c>
      <c r="C30" s="10" t="s">
        <v>161</v>
      </c>
      <c r="D30" s="10" t="s">
        <v>186</v>
      </c>
      <c r="E30" s="10" t="s">
        <v>187</v>
      </c>
      <c r="F30" s="10" t="s">
        <v>188</v>
      </c>
      <c r="G30" s="10" t="s">
        <v>189</v>
      </c>
      <c r="H30" s="10" t="s">
        <v>190</v>
      </c>
      <c r="I30" s="10" t="s">
        <v>191</v>
      </c>
      <c r="J30" s="10" t="s">
        <v>192</v>
      </c>
      <c r="K30" s="11" t="s">
        <v>5</v>
      </c>
      <c r="L30" s="12">
        <v>1.2</v>
      </c>
      <c r="M30" s="10"/>
    </row>
    <row r="31" ht="36.0" customHeight="1">
      <c r="A31" s="9">
        <v>22.0</v>
      </c>
      <c r="B31" s="10" t="s">
        <v>193</v>
      </c>
      <c r="C31" s="10" t="s">
        <v>194</v>
      </c>
      <c r="D31" s="10" t="s">
        <v>195</v>
      </c>
      <c r="E31" s="10" t="s">
        <v>196</v>
      </c>
      <c r="F31" s="10" t="s">
        <v>197</v>
      </c>
      <c r="G31" s="10" t="s">
        <v>142</v>
      </c>
      <c r="H31" s="10" t="s">
        <v>198</v>
      </c>
      <c r="I31" s="10" t="s">
        <v>199</v>
      </c>
      <c r="J31" s="10" t="s">
        <v>200</v>
      </c>
      <c r="K31" s="11" t="s">
        <v>5</v>
      </c>
      <c r="L31" s="12">
        <v>2.1</v>
      </c>
      <c r="M31" s="10"/>
    </row>
    <row r="32" ht="36.0" customHeight="1">
      <c r="A32" s="9">
        <v>23.0</v>
      </c>
      <c r="B32" s="10" t="s">
        <v>201</v>
      </c>
      <c r="C32" s="10" t="s">
        <v>194</v>
      </c>
      <c r="D32" s="10" t="s">
        <v>202</v>
      </c>
      <c r="E32" s="10" t="s">
        <v>203</v>
      </c>
      <c r="F32" s="10" t="s">
        <v>204</v>
      </c>
      <c r="G32" s="10" t="s">
        <v>142</v>
      </c>
      <c r="H32" s="10" t="s">
        <v>205</v>
      </c>
      <c r="I32" s="10" t="s">
        <v>206</v>
      </c>
      <c r="J32" s="10" t="s">
        <v>207</v>
      </c>
      <c r="K32" s="11" t="s">
        <v>5</v>
      </c>
      <c r="L32" s="12">
        <v>2.5</v>
      </c>
      <c r="M32" s="10"/>
    </row>
    <row r="33" ht="36.0" customHeight="1">
      <c r="A33" s="9">
        <v>24.0</v>
      </c>
      <c r="B33" s="10" t="s">
        <v>208</v>
      </c>
      <c r="C33" s="10" t="s">
        <v>194</v>
      </c>
      <c r="D33" s="10" t="s">
        <v>209</v>
      </c>
      <c r="E33" s="10" t="s">
        <v>210</v>
      </c>
      <c r="F33" s="10" t="s">
        <v>211</v>
      </c>
      <c r="G33" s="10" t="s">
        <v>212</v>
      </c>
      <c r="H33" s="10" t="s">
        <v>213</v>
      </c>
      <c r="I33" s="10" t="s">
        <v>214</v>
      </c>
      <c r="J33" s="10" t="s">
        <v>215</v>
      </c>
      <c r="K33" s="11" t="s">
        <v>5</v>
      </c>
      <c r="L33" s="12">
        <v>1.4</v>
      </c>
      <c r="M33" s="10"/>
    </row>
    <row r="34" ht="36.0" customHeight="1">
      <c r="A34" s="9">
        <v>25.0</v>
      </c>
      <c r="B34" s="10" t="s">
        <v>216</v>
      </c>
      <c r="C34" s="10" t="s">
        <v>194</v>
      </c>
      <c r="D34" s="10" t="s">
        <v>217</v>
      </c>
      <c r="E34" s="10" t="s">
        <v>218</v>
      </c>
      <c r="F34" s="10" t="s">
        <v>219</v>
      </c>
      <c r="G34" s="10" t="s">
        <v>220</v>
      </c>
      <c r="H34" s="10" t="s">
        <v>221</v>
      </c>
      <c r="I34" s="10" t="s">
        <v>222</v>
      </c>
      <c r="J34" s="10" t="s">
        <v>223</v>
      </c>
      <c r="K34" s="11" t="s">
        <v>5</v>
      </c>
      <c r="L34" s="12">
        <v>0.9</v>
      </c>
      <c r="M34" s="10"/>
    </row>
    <row r="35" ht="36.0" customHeight="1">
      <c r="A35" s="9">
        <v>26.0</v>
      </c>
      <c r="B35" s="10" t="s">
        <v>224</v>
      </c>
      <c r="C35" s="10" t="s">
        <v>194</v>
      </c>
      <c r="D35" s="10" t="s">
        <v>225</v>
      </c>
      <c r="E35" s="10" t="s">
        <v>226</v>
      </c>
      <c r="F35" s="10" t="s">
        <v>227</v>
      </c>
      <c r="G35" s="10" t="s">
        <v>149</v>
      </c>
      <c r="H35" s="10" t="s">
        <v>228</v>
      </c>
      <c r="I35" s="10" t="s">
        <v>229</v>
      </c>
      <c r="J35" s="10" t="s">
        <v>230</v>
      </c>
      <c r="K35" s="11" t="s">
        <v>5</v>
      </c>
      <c r="L35" s="12">
        <v>1.1</v>
      </c>
      <c r="M35" s="10"/>
    </row>
    <row r="36" ht="36.0" customHeight="1">
      <c r="A36" s="9">
        <v>27.0</v>
      </c>
      <c r="B36" s="10" t="s">
        <v>231</v>
      </c>
      <c r="C36" s="10" t="s">
        <v>232</v>
      </c>
      <c r="D36" s="10" t="s">
        <v>233</v>
      </c>
      <c r="E36" s="10" t="s">
        <v>234</v>
      </c>
      <c r="F36" s="10" t="s">
        <v>235</v>
      </c>
      <c r="G36" s="10" t="s">
        <v>142</v>
      </c>
      <c r="H36" s="10" t="s">
        <v>236</v>
      </c>
      <c r="I36" s="10" t="s">
        <v>237</v>
      </c>
      <c r="J36" s="10" t="s">
        <v>238</v>
      </c>
      <c r="K36" s="11" t="s">
        <v>5</v>
      </c>
      <c r="L36" s="12">
        <v>1.8</v>
      </c>
      <c r="M36" s="10"/>
    </row>
    <row r="37" ht="36.0" customHeight="1">
      <c r="A37" s="9">
        <v>28.0</v>
      </c>
      <c r="B37" s="10" t="s">
        <v>239</v>
      </c>
      <c r="C37" s="10" t="s">
        <v>232</v>
      </c>
      <c r="D37" s="10" t="s">
        <v>240</v>
      </c>
      <c r="E37" s="10" t="s">
        <v>241</v>
      </c>
      <c r="F37" s="10" t="s">
        <v>242</v>
      </c>
      <c r="G37" s="10" t="s">
        <v>142</v>
      </c>
      <c r="H37" s="10" t="s">
        <v>243</v>
      </c>
      <c r="I37" s="10" t="s">
        <v>244</v>
      </c>
      <c r="J37" s="10" t="s">
        <v>245</v>
      </c>
      <c r="K37" s="11" t="s">
        <v>5</v>
      </c>
      <c r="L37" s="12">
        <v>2.3</v>
      </c>
      <c r="M37" s="10"/>
    </row>
    <row r="38" ht="36.0" customHeight="1">
      <c r="A38" s="9">
        <v>29.0</v>
      </c>
      <c r="B38" s="10" t="s">
        <v>246</v>
      </c>
      <c r="C38" s="10" t="s">
        <v>232</v>
      </c>
      <c r="D38" s="10" t="s">
        <v>247</v>
      </c>
      <c r="E38" s="10" t="s">
        <v>248</v>
      </c>
      <c r="F38" s="10" t="s">
        <v>249</v>
      </c>
      <c r="G38" s="10" t="s">
        <v>250</v>
      </c>
      <c r="H38" s="10" t="s">
        <v>251</v>
      </c>
      <c r="I38" s="10" t="s">
        <v>252</v>
      </c>
      <c r="J38" s="10" t="s">
        <v>253</v>
      </c>
      <c r="K38" s="11" t="s">
        <v>5</v>
      </c>
      <c r="L38" s="12">
        <v>2.7</v>
      </c>
      <c r="M38" s="10"/>
    </row>
    <row r="39" ht="36.0" customHeight="1">
      <c r="A39" s="9">
        <v>30.0</v>
      </c>
      <c r="B39" s="10" t="s">
        <v>254</v>
      </c>
      <c r="C39" s="10" t="s">
        <v>232</v>
      </c>
      <c r="D39" s="10" t="s">
        <v>217</v>
      </c>
      <c r="E39" s="10" t="s">
        <v>255</v>
      </c>
      <c r="F39" s="10" t="s">
        <v>256</v>
      </c>
      <c r="G39" s="10" t="s">
        <v>257</v>
      </c>
      <c r="H39" s="10" t="s">
        <v>258</v>
      </c>
      <c r="I39" s="10" t="s">
        <v>259</v>
      </c>
      <c r="J39" s="10" t="s">
        <v>260</v>
      </c>
      <c r="K39" s="11" t="s">
        <v>5</v>
      </c>
      <c r="L39" s="12">
        <v>1.2</v>
      </c>
      <c r="M39" s="10"/>
    </row>
    <row r="40" ht="36.0" customHeight="1">
      <c r="A40" s="9">
        <v>31.0</v>
      </c>
      <c r="B40" s="10" t="s">
        <v>261</v>
      </c>
      <c r="C40" s="10" t="s">
        <v>232</v>
      </c>
      <c r="D40" s="10" t="s">
        <v>262</v>
      </c>
      <c r="E40" s="10" t="s">
        <v>263</v>
      </c>
      <c r="F40" s="10" t="s">
        <v>264</v>
      </c>
      <c r="G40" s="10" t="s">
        <v>265</v>
      </c>
      <c r="H40" s="10" t="s">
        <v>266</v>
      </c>
      <c r="I40" s="10" t="s">
        <v>267</v>
      </c>
      <c r="J40" s="10" t="s">
        <v>268</v>
      </c>
      <c r="K40" s="11" t="s">
        <v>5</v>
      </c>
      <c r="L40" s="12">
        <v>1.0</v>
      </c>
      <c r="M40" s="10"/>
    </row>
    <row r="41" ht="36.0" customHeight="1">
      <c r="A41" s="9">
        <v>32.0</v>
      </c>
      <c r="B41" s="10" t="s">
        <v>269</v>
      </c>
      <c r="C41" s="10" t="s">
        <v>270</v>
      </c>
      <c r="D41" s="10" t="s">
        <v>271</v>
      </c>
      <c r="E41" s="10" t="s">
        <v>272</v>
      </c>
      <c r="F41" s="10" t="s">
        <v>273</v>
      </c>
      <c r="G41" s="10" t="s">
        <v>149</v>
      </c>
      <c r="H41" s="10" t="s">
        <v>274</v>
      </c>
      <c r="I41" s="10" t="s">
        <v>275</v>
      </c>
      <c r="J41" s="10" t="s">
        <v>276</v>
      </c>
      <c r="K41" s="11" t="s">
        <v>5</v>
      </c>
      <c r="L41" s="12">
        <v>2.6</v>
      </c>
      <c r="M41" s="10"/>
    </row>
    <row r="42" ht="36.0" customHeight="1">
      <c r="A42" s="9">
        <v>33.0</v>
      </c>
      <c r="B42" s="10" t="s">
        <v>277</v>
      </c>
      <c r="C42" s="10" t="s">
        <v>270</v>
      </c>
      <c r="D42" s="10" t="s">
        <v>278</v>
      </c>
      <c r="E42" s="10" t="s">
        <v>279</v>
      </c>
      <c r="F42" s="10" t="s">
        <v>280</v>
      </c>
      <c r="G42" s="10" t="s">
        <v>281</v>
      </c>
      <c r="H42" s="10" t="s">
        <v>282</v>
      </c>
      <c r="I42" s="10" t="s">
        <v>283</v>
      </c>
      <c r="J42" s="10" t="s">
        <v>284</v>
      </c>
      <c r="K42" s="11" t="s">
        <v>5</v>
      </c>
      <c r="L42" s="12">
        <v>1.9</v>
      </c>
      <c r="M42" s="10"/>
    </row>
    <row r="43" ht="36.0" customHeight="1">
      <c r="A43" s="9">
        <v>34.0</v>
      </c>
      <c r="B43" s="10" t="s">
        <v>285</v>
      </c>
      <c r="C43" s="10" t="s">
        <v>270</v>
      </c>
      <c r="D43" s="10" t="s">
        <v>286</v>
      </c>
      <c r="E43" s="10" t="s">
        <v>287</v>
      </c>
      <c r="F43" s="10" t="s">
        <v>288</v>
      </c>
      <c r="G43" s="10" t="s">
        <v>289</v>
      </c>
      <c r="H43" s="10" t="s">
        <v>290</v>
      </c>
      <c r="I43" s="10" t="s">
        <v>291</v>
      </c>
      <c r="J43" s="10" t="s">
        <v>292</v>
      </c>
      <c r="K43" s="11" t="s">
        <v>5</v>
      </c>
      <c r="L43" s="12">
        <v>2.8</v>
      </c>
      <c r="M43" s="10"/>
    </row>
    <row r="44" ht="36.0" customHeight="1">
      <c r="A44" s="9">
        <v>35.0</v>
      </c>
      <c r="B44" s="10" t="s">
        <v>293</v>
      </c>
      <c r="C44" s="10" t="s">
        <v>270</v>
      </c>
      <c r="D44" s="10" t="s">
        <v>294</v>
      </c>
      <c r="E44" s="10" t="s">
        <v>295</v>
      </c>
      <c r="F44" s="10" t="s">
        <v>296</v>
      </c>
      <c r="G44" s="10" t="s">
        <v>297</v>
      </c>
      <c r="H44" s="10" t="s">
        <v>298</v>
      </c>
      <c r="I44" s="10" t="s">
        <v>299</v>
      </c>
      <c r="J44" s="10" t="s">
        <v>300</v>
      </c>
      <c r="K44" s="11" t="s">
        <v>5</v>
      </c>
      <c r="L44" s="12">
        <v>2.5</v>
      </c>
      <c r="M44" s="10"/>
    </row>
    <row r="45" ht="36.0" customHeight="1">
      <c r="A45" s="9">
        <v>36.0</v>
      </c>
      <c r="B45" s="10" t="s">
        <v>301</v>
      </c>
      <c r="C45" s="10" t="s">
        <v>270</v>
      </c>
      <c r="D45" s="10" t="s">
        <v>302</v>
      </c>
      <c r="E45" s="10" t="s">
        <v>303</v>
      </c>
      <c r="F45" s="10" t="s">
        <v>304</v>
      </c>
      <c r="G45" s="10" t="s">
        <v>305</v>
      </c>
      <c r="H45" s="10" t="s">
        <v>306</v>
      </c>
      <c r="I45" s="10" t="s">
        <v>307</v>
      </c>
      <c r="J45" s="10" t="s">
        <v>308</v>
      </c>
      <c r="K45" s="11" t="s">
        <v>5</v>
      </c>
      <c r="L45" s="12">
        <v>1.2</v>
      </c>
      <c r="M45" s="10"/>
    </row>
    <row r="46" ht="36.0" customHeight="1">
      <c r="A46" s="9">
        <v>37.0</v>
      </c>
      <c r="B46" s="10" t="s">
        <v>309</v>
      </c>
      <c r="C46" s="10" t="s">
        <v>310</v>
      </c>
      <c r="D46" s="10" t="s">
        <v>311</v>
      </c>
      <c r="E46" s="10" t="s">
        <v>312</v>
      </c>
      <c r="F46" s="10" t="s">
        <v>313</v>
      </c>
      <c r="G46" s="10" t="s">
        <v>314</v>
      </c>
      <c r="H46" s="10" t="s">
        <v>315</v>
      </c>
      <c r="I46" s="10" t="s">
        <v>316</v>
      </c>
      <c r="J46" s="10" t="s">
        <v>317</v>
      </c>
      <c r="K46" s="11" t="s">
        <v>5</v>
      </c>
      <c r="L46" s="12">
        <v>1.9</v>
      </c>
      <c r="M46" s="10"/>
    </row>
    <row r="47" ht="36.0" customHeight="1">
      <c r="A47" s="9">
        <v>38.0</v>
      </c>
      <c r="B47" s="10" t="s">
        <v>318</v>
      </c>
      <c r="C47" s="10" t="s">
        <v>310</v>
      </c>
      <c r="D47" s="10" t="s">
        <v>319</v>
      </c>
      <c r="E47" s="10" t="s">
        <v>320</v>
      </c>
      <c r="F47" s="10" t="s">
        <v>321</v>
      </c>
      <c r="G47" s="10" t="s">
        <v>322</v>
      </c>
      <c r="H47" s="10" t="s">
        <v>323</v>
      </c>
      <c r="I47" s="10" t="s">
        <v>324</v>
      </c>
      <c r="J47" s="10" t="s">
        <v>325</v>
      </c>
      <c r="K47" s="11" t="s">
        <v>5</v>
      </c>
      <c r="L47" s="12">
        <v>2.7</v>
      </c>
      <c r="M47" s="10"/>
    </row>
    <row r="48" ht="36.0" customHeight="1">
      <c r="A48" s="9">
        <v>39.0</v>
      </c>
      <c r="B48" s="10" t="s">
        <v>326</v>
      </c>
      <c r="C48" s="10" t="s">
        <v>310</v>
      </c>
      <c r="D48" s="10" t="s">
        <v>327</v>
      </c>
      <c r="E48" s="10" t="s">
        <v>328</v>
      </c>
      <c r="F48" s="10" t="s">
        <v>329</v>
      </c>
      <c r="G48" s="10" t="s">
        <v>330</v>
      </c>
      <c r="H48" s="10" t="s">
        <v>331</v>
      </c>
      <c r="I48" s="10" t="s">
        <v>332</v>
      </c>
      <c r="J48" s="10" t="s">
        <v>333</v>
      </c>
      <c r="K48" s="11" t="s">
        <v>5</v>
      </c>
      <c r="L48" s="12">
        <v>2.4</v>
      </c>
      <c r="M48" s="10"/>
    </row>
    <row r="49" ht="36.0" customHeight="1">
      <c r="A49" s="9">
        <v>40.0</v>
      </c>
      <c r="B49" s="10" t="s">
        <v>334</v>
      </c>
      <c r="C49" s="10" t="s">
        <v>310</v>
      </c>
      <c r="D49" s="10" t="s">
        <v>335</v>
      </c>
      <c r="E49" s="10" t="s">
        <v>336</v>
      </c>
      <c r="F49" s="10" t="s">
        <v>337</v>
      </c>
      <c r="G49" s="10" t="s">
        <v>338</v>
      </c>
      <c r="H49" s="10" t="s">
        <v>339</v>
      </c>
      <c r="I49" s="10" t="s">
        <v>340</v>
      </c>
      <c r="J49" s="10" t="s">
        <v>341</v>
      </c>
      <c r="K49" s="11" t="s">
        <v>5</v>
      </c>
      <c r="L49" s="12">
        <v>1.1</v>
      </c>
      <c r="M49" s="10"/>
    </row>
    <row r="50" ht="36.0" customHeight="1">
      <c r="A50" s="9">
        <v>41.0</v>
      </c>
      <c r="B50" s="10" t="s">
        <v>342</v>
      </c>
      <c r="C50" s="10" t="s">
        <v>343</v>
      </c>
      <c r="D50" s="10" t="s">
        <v>344</v>
      </c>
      <c r="E50" s="10" t="s">
        <v>345</v>
      </c>
      <c r="F50" s="10" t="s">
        <v>346</v>
      </c>
      <c r="G50" s="10" t="s">
        <v>314</v>
      </c>
      <c r="H50" s="10" t="s">
        <v>347</v>
      </c>
      <c r="I50" s="10" t="s">
        <v>348</v>
      </c>
      <c r="J50" s="10" t="s">
        <v>349</v>
      </c>
      <c r="K50" s="11" t="s">
        <v>5</v>
      </c>
      <c r="L50" s="12">
        <v>1.7</v>
      </c>
      <c r="M50" s="10"/>
    </row>
    <row r="51" ht="36.0" customHeight="1">
      <c r="A51" s="9">
        <v>42.0</v>
      </c>
      <c r="B51" s="10" t="s">
        <v>350</v>
      </c>
      <c r="C51" s="10" t="s">
        <v>343</v>
      </c>
      <c r="D51" s="10" t="s">
        <v>351</v>
      </c>
      <c r="E51" s="10" t="s">
        <v>352</v>
      </c>
      <c r="F51" s="10" t="s">
        <v>353</v>
      </c>
      <c r="G51" s="10" t="s">
        <v>354</v>
      </c>
      <c r="H51" s="10" t="s">
        <v>355</v>
      </c>
      <c r="I51" s="10" t="s">
        <v>356</v>
      </c>
      <c r="J51" s="10" t="s">
        <v>357</v>
      </c>
      <c r="K51" s="11" t="s">
        <v>5</v>
      </c>
      <c r="L51" s="12">
        <v>2.4</v>
      </c>
      <c r="M51" s="10"/>
    </row>
    <row r="52" ht="36.0" customHeight="1">
      <c r="A52" s="9">
        <v>43.0</v>
      </c>
      <c r="B52" s="10" t="s">
        <v>358</v>
      </c>
      <c r="C52" s="10" t="s">
        <v>343</v>
      </c>
      <c r="D52" s="10" t="s">
        <v>359</v>
      </c>
      <c r="E52" s="10" t="s">
        <v>360</v>
      </c>
      <c r="F52" s="10" t="s">
        <v>361</v>
      </c>
      <c r="G52" s="10" t="s">
        <v>362</v>
      </c>
      <c r="H52" s="10" t="s">
        <v>363</v>
      </c>
      <c r="I52" s="10" t="s">
        <v>364</v>
      </c>
      <c r="J52" s="10" t="s">
        <v>365</v>
      </c>
      <c r="K52" s="11" t="s">
        <v>5</v>
      </c>
      <c r="L52" s="12">
        <v>2.2</v>
      </c>
      <c r="M52" s="10"/>
    </row>
    <row r="53" ht="36.0" customHeight="1">
      <c r="A53" s="9">
        <v>44.0</v>
      </c>
      <c r="B53" s="10" t="s">
        <v>366</v>
      </c>
      <c r="C53" s="10" t="s">
        <v>343</v>
      </c>
      <c r="D53" s="10" t="s">
        <v>367</v>
      </c>
      <c r="E53" s="10" t="s">
        <v>368</v>
      </c>
      <c r="F53" s="10" t="s">
        <v>369</v>
      </c>
      <c r="G53" s="10" t="s">
        <v>370</v>
      </c>
      <c r="H53" s="10" t="s">
        <v>371</v>
      </c>
      <c r="I53" s="10" t="s">
        <v>372</v>
      </c>
      <c r="J53" s="10" t="s">
        <v>373</v>
      </c>
      <c r="K53" s="11" t="s">
        <v>5</v>
      </c>
      <c r="L53" s="12">
        <v>1.1</v>
      </c>
      <c r="M53" s="10"/>
    </row>
    <row r="54" ht="36.0" customHeight="1">
      <c r="A54" s="9">
        <v>45.0</v>
      </c>
      <c r="B54" s="10" t="s">
        <v>374</v>
      </c>
      <c r="C54" s="10" t="s">
        <v>343</v>
      </c>
      <c r="D54" s="10" t="s">
        <v>375</v>
      </c>
      <c r="E54" s="10" t="s">
        <v>376</v>
      </c>
      <c r="F54" s="10" t="s">
        <v>377</v>
      </c>
      <c r="G54" s="10" t="s">
        <v>378</v>
      </c>
      <c r="H54" s="10" t="s">
        <v>379</v>
      </c>
      <c r="I54" s="10" t="s">
        <v>380</v>
      </c>
      <c r="J54" s="10" t="s">
        <v>381</v>
      </c>
      <c r="K54" s="11" t="s">
        <v>5</v>
      </c>
      <c r="L54" s="12">
        <v>2.0</v>
      </c>
      <c r="M54" s="10"/>
    </row>
    <row r="55" ht="36.0" customHeight="1">
      <c r="A55" s="9">
        <v>46.0</v>
      </c>
      <c r="B55" s="10" t="s">
        <v>382</v>
      </c>
      <c r="C55" s="10" t="s">
        <v>383</v>
      </c>
      <c r="D55" s="10" t="s">
        <v>384</v>
      </c>
      <c r="E55" s="10" t="s">
        <v>385</v>
      </c>
      <c r="F55" s="10" t="s">
        <v>386</v>
      </c>
      <c r="G55" s="10" t="s">
        <v>149</v>
      </c>
      <c r="H55" s="10" t="s">
        <v>387</v>
      </c>
      <c r="I55" s="10" t="s">
        <v>388</v>
      </c>
      <c r="J55" s="10" t="s">
        <v>389</v>
      </c>
      <c r="K55" s="11" t="s">
        <v>5</v>
      </c>
      <c r="L55" s="12">
        <v>2.1</v>
      </c>
      <c r="M55" s="10"/>
    </row>
    <row r="56" ht="36.0" customHeight="1">
      <c r="A56" s="9">
        <v>47.0</v>
      </c>
      <c r="B56" s="10" t="s">
        <v>390</v>
      </c>
      <c r="C56" s="10" t="s">
        <v>383</v>
      </c>
      <c r="D56" s="10" t="s">
        <v>391</v>
      </c>
      <c r="E56" s="10" t="s">
        <v>392</v>
      </c>
      <c r="F56" s="10" t="s">
        <v>386</v>
      </c>
      <c r="G56" s="10" t="s">
        <v>393</v>
      </c>
      <c r="H56" s="10" t="s">
        <v>394</v>
      </c>
      <c r="I56" s="10" t="s">
        <v>395</v>
      </c>
      <c r="J56" s="10" t="s">
        <v>396</v>
      </c>
      <c r="K56" s="11" t="s">
        <v>5</v>
      </c>
      <c r="L56" s="12">
        <v>1.8</v>
      </c>
      <c r="M56" s="10"/>
    </row>
    <row r="57" ht="36.0" customHeight="1">
      <c r="A57" s="9">
        <v>48.0</v>
      </c>
      <c r="B57" s="10" t="s">
        <v>397</v>
      </c>
      <c r="C57" s="10" t="s">
        <v>383</v>
      </c>
      <c r="D57" s="10" t="s">
        <v>398</v>
      </c>
      <c r="E57" s="10" t="s">
        <v>399</v>
      </c>
      <c r="F57" s="10" t="s">
        <v>386</v>
      </c>
      <c r="G57" s="10" t="s">
        <v>400</v>
      </c>
      <c r="H57" s="10" t="s">
        <v>401</v>
      </c>
      <c r="I57" s="10" t="s">
        <v>402</v>
      </c>
      <c r="J57" s="10" t="s">
        <v>403</v>
      </c>
      <c r="K57" s="11" t="s">
        <v>5</v>
      </c>
      <c r="L57" s="12">
        <v>1.2</v>
      </c>
      <c r="M57" s="10"/>
    </row>
    <row r="58" ht="36.0" customHeight="1">
      <c r="A58" s="9">
        <v>49.0</v>
      </c>
      <c r="B58" s="10" t="s">
        <v>404</v>
      </c>
      <c r="C58" s="10" t="s">
        <v>405</v>
      </c>
      <c r="D58" s="10" t="s">
        <v>406</v>
      </c>
      <c r="E58" s="10" t="s">
        <v>407</v>
      </c>
      <c r="F58" s="10" t="s">
        <v>408</v>
      </c>
      <c r="G58" s="10" t="s">
        <v>142</v>
      </c>
      <c r="H58" s="10" t="s">
        <v>409</v>
      </c>
      <c r="I58" s="10" t="s">
        <v>410</v>
      </c>
      <c r="J58" s="10" t="s">
        <v>411</v>
      </c>
      <c r="K58" s="11" t="s">
        <v>5</v>
      </c>
      <c r="L58" s="12">
        <v>2.2</v>
      </c>
      <c r="M58" s="10"/>
    </row>
    <row r="59" ht="36.0" customHeight="1">
      <c r="A59" s="9">
        <v>50.0</v>
      </c>
      <c r="B59" s="10" t="s">
        <v>412</v>
      </c>
      <c r="C59" s="10" t="s">
        <v>405</v>
      </c>
      <c r="D59" s="10" t="s">
        <v>413</v>
      </c>
      <c r="E59" s="10" t="s">
        <v>414</v>
      </c>
      <c r="F59" s="10" t="s">
        <v>415</v>
      </c>
      <c r="G59" s="10" t="s">
        <v>416</v>
      </c>
      <c r="H59" s="10" t="s">
        <v>417</v>
      </c>
      <c r="I59" s="10" t="s">
        <v>418</v>
      </c>
      <c r="J59" s="10" t="s">
        <v>419</v>
      </c>
      <c r="K59" s="11" t="s">
        <v>5</v>
      </c>
      <c r="L59" s="12">
        <v>2.0</v>
      </c>
      <c r="M59" s="10"/>
    </row>
    <row r="60" ht="36.0" customHeight="1">
      <c r="A60" s="9">
        <v>51.0</v>
      </c>
      <c r="B60" s="10" t="s">
        <v>420</v>
      </c>
      <c r="C60" s="10" t="s">
        <v>405</v>
      </c>
      <c r="D60" s="10" t="s">
        <v>421</v>
      </c>
      <c r="E60" s="10" t="s">
        <v>422</v>
      </c>
      <c r="F60" s="10" t="s">
        <v>423</v>
      </c>
      <c r="G60" s="10" t="s">
        <v>424</v>
      </c>
      <c r="H60" s="10" t="s">
        <v>425</v>
      </c>
      <c r="I60" s="10" t="s">
        <v>426</v>
      </c>
      <c r="J60" s="10" t="s">
        <v>427</v>
      </c>
      <c r="K60" s="11" t="s">
        <v>5</v>
      </c>
      <c r="L60" s="12">
        <v>2.3</v>
      </c>
      <c r="M60" s="10"/>
    </row>
    <row r="61" ht="36.0" customHeight="1">
      <c r="A61" s="9">
        <v>52.0</v>
      </c>
      <c r="B61" s="10" t="s">
        <v>428</v>
      </c>
      <c r="C61" s="10" t="s">
        <v>405</v>
      </c>
      <c r="D61" s="10" t="s">
        <v>429</v>
      </c>
      <c r="E61" s="10" t="s">
        <v>430</v>
      </c>
      <c r="F61" s="10" t="s">
        <v>423</v>
      </c>
      <c r="G61" s="10" t="s">
        <v>424</v>
      </c>
      <c r="H61" s="10" t="s">
        <v>431</v>
      </c>
      <c r="I61" s="10" t="s">
        <v>432</v>
      </c>
      <c r="J61" s="10" t="s">
        <v>433</v>
      </c>
      <c r="K61" s="11" t="s">
        <v>5</v>
      </c>
      <c r="L61" s="12">
        <v>2.4</v>
      </c>
      <c r="M61" s="10"/>
    </row>
    <row r="62" ht="36.0" customHeight="1">
      <c r="A62" s="9">
        <v>53.0</v>
      </c>
      <c r="B62" s="10" t="s">
        <v>434</v>
      </c>
      <c r="C62" s="10" t="s">
        <v>405</v>
      </c>
      <c r="D62" s="10" t="s">
        <v>435</v>
      </c>
      <c r="E62" s="10" t="s">
        <v>436</v>
      </c>
      <c r="F62" s="10" t="s">
        <v>408</v>
      </c>
      <c r="G62" s="10" t="s">
        <v>156</v>
      </c>
      <c r="H62" s="10" t="s">
        <v>437</v>
      </c>
      <c r="I62" s="10" t="s">
        <v>438</v>
      </c>
      <c r="J62" s="10" t="s">
        <v>439</v>
      </c>
      <c r="K62" s="11" t="s">
        <v>5</v>
      </c>
      <c r="L62" s="12">
        <v>1.2</v>
      </c>
      <c r="M62" s="10"/>
    </row>
    <row r="63" ht="36.0" customHeight="1">
      <c r="A63" s="9">
        <v>54.0</v>
      </c>
      <c r="B63" s="10" t="s">
        <v>440</v>
      </c>
      <c r="C63" s="10" t="s">
        <v>441</v>
      </c>
      <c r="D63" s="10" t="s">
        <v>442</v>
      </c>
      <c r="E63" s="10" t="s">
        <v>443</v>
      </c>
      <c r="F63" s="10" t="s">
        <v>444</v>
      </c>
      <c r="G63" s="10" t="s">
        <v>142</v>
      </c>
      <c r="H63" s="10" t="s">
        <v>445</v>
      </c>
      <c r="I63" s="10" t="s">
        <v>446</v>
      </c>
      <c r="J63" s="10" t="s">
        <v>447</v>
      </c>
      <c r="K63" s="11" t="s">
        <v>5</v>
      </c>
      <c r="L63" s="12">
        <v>2.0</v>
      </c>
      <c r="M63" s="10"/>
    </row>
    <row r="64" ht="36.0" customHeight="1">
      <c r="A64" s="9">
        <v>55.0</v>
      </c>
      <c r="B64" s="10" t="s">
        <v>448</v>
      </c>
      <c r="C64" s="10" t="s">
        <v>441</v>
      </c>
      <c r="D64" s="10" t="s">
        <v>449</v>
      </c>
      <c r="E64" s="10" t="s">
        <v>450</v>
      </c>
      <c r="F64" s="10" t="s">
        <v>444</v>
      </c>
      <c r="G64" s="10" t="s">
        <v>451</v>
      </c>
      <c r="H64" s="10" t="s">
        <v>452</v>
      </c>
      <c r="I64" s="10" t="s">
        <v>453</v>
      </c>
      <c r="J64" s="10" t="s">
        <v>454</v>
      </c>
      <c r="K64" s="11" t="s">
        <v>5</v>
      </c>
      <c r="L64" s="12">
        <v>2.5</v>
      </c>
      <c r="M64" s="10"/>
    </row>
    <row r="65" ht="36.0" customHeight="1">
      <c r="A65" s="9">
        <v>56.0</v>
      </c>
      <c r="B65" s="10" t="s">
        <v>455</v>
      </c>
      <c r="C65" s="10" t="s">
        <v>441</v>
      </c>
      <c r="D65" s="10" t="s">
        <v>456</v>
      </c>
      <c r="E65" s="10" t="s">
        <v>457</v>
      </c>
      <c r="F65" s="10" t="s">
        <v>458</v>
      </c>
      <c r="G65" s="10" t="s">
        <v>459</v>
      </c>
      <c r="H65" s="10" t="s">
        <v>460</v>
      </c>
      <c r="I65" s="10" t="s">
        <v>461</v>
      </c>
      <c r="J65" s="10" t="s">
        <v>462</v>
      </c>
      <c r="K65" s="11" t="s">
        <v>5</v>
      </c>
      <c r="L65" s="12">
        <v>1.3</v>
      </c>
      <c r="M65" s="10"/>
    </row>
    <row r="66" ht="36.0" customHeight="1">
      <c r="A66" s="9">
        <v>57.0</v>
      </c>
      <c r="B66" s="10" t="s">
        <v>463</v>
      </c>
      <c r="C66" s="10" t="s">
        <v>441</v>
      </c>
      <c r="D66" s="10" t="s">
        <v>464</v>
      </c>
      <c r="E66" s="10" t="s">
        <v>465</v>
      </c>
      <c r="F66" s="10" t="s">
        <v>466</v>
      </c>
      <c r="G66" s="10" t="s">
        <v>149</v>
      </c>
      <c r="H66" s="10" t="s">
        <v>467</v>
      </c>
      <c r="I66" s="10" t="s">
        <v>468</v>
      </c>
      <c r="J66" s="10" t="s">
        <v>469</v>
      </c>
      <c r="K66" s="11" t="s">
        <v>5</v>
      </c>
      <c r="L66" s="12">
        <v>1.1</v>
      </c>
      <c r="M66" s="10"/>
    </row>
    <row r="67" ht="36.0" customHeight="1">
      <c r="A67" s="9">
        <v>58.0</v>
      </c>
      <c r="B67" s="10" t="s">
        <v>470</v>
      </c>
      <c r="C67" s="10" t="s">
        <v>471</v>
      </c>
      <c r="D67" s="10" t="s">
        <v>472</v>
      </c>
      <c r="E67" s="10" t="s">
        <v>473</v>
      </c>
      <c r="F67" s="10" t="s">
        <v>474</v>
      </c>
      <c r="G67" s="10" t="s">
        <v>314</v>
      </c>
      <c r="H67" s="10" t="s">
        <v>475</v>
      </c>
      <c r="I67" s="10" t="s">
        <v>476</v>
      </c>
      <c r="J67" s="10" t="s">
        <v>477</v>
      </c>
      <c r="K67" s="11" t="s">
        <v>5</v>
      </c>
      <c r="L67" s="12">
        <v>1.6</v>
      </c>
      <c r="M67" s="10"/>
    </row>
    <row r="68" ht="36.0" customHeight="1">
      <c r="A68" s="9">
        <v>59.0</v>
      </c>
      <c r="B68" s="10" t="s">
        <v>478</v>
      </c>
      <c r="C68" s="10" t="s">
        <v>471</v>
      </c>
      <c r="D68" s="10" t="s">
        <v>479</v>
      </c>
      <c r="E68" s="10" t="s">
        <v>480</v>
      </c>
      <c r="F68" s="10" t="s">
        <v>481</v>
      </c>
      <c r="G68" s="10" t="s">
        <v>149</v>
      </c>
      <c r="H68" s="10" t="s">
        <v>482</v>
      </c>
      <c r="I68" s="10" t="s">
        <v>483</v>
      </c>
      <c r="J68" s="10" t="s">
        <v>484</v>
      </c>
      <c r="K68" s="11" t="s">
        <v>5</v>
      </c>
      <c r="L68" s="12">
        <v>1.7</v>
      </c>
      <c r="M68" s="10"/>
    </row>
    <row r="69" ht="36.0" customHeight="1">
      <c r="A69" s="9">
        <v>60.0</v>
      </c>
      <c r="B69" s="10" t="s">
        <v>485</v>
      </c>
      <c r="C69" s="10" t="s">
        <v>270</v>
      </c>
      <c r="D69" s="10" t="s">
        <v>486</v>
      </c>
      <c r="E69" s="10" t="s">
        <v>487</v>
      </c>
      <c r="F69" s="10" t="s">
        <v>288</v>
      </c>
      <c r="G69" s="10" t="s">
        <v>488</v>
      </c>
      <c r="H69" s="10" t="s">
        <v>489</v>
      </c>
      <c r="I69" s="10" t="s">
        <v>490</v>
      </c>
      <c r="J69" s="10" t="s">
        <v>491</v>
      </c>
      <c r="K69" s="11" t="s">
        <v>5</v>
      </c>
      <c r="L69" s="12">
        <v>1.8</v>
      </c>
      <c r="M69" s="1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5"/>
    <mergeCell ref="A6:C6"/>
    <mergeCell ref="A2:C2"/>
    <mergeCell ref="D2:G2"/>
    <mergeCell ref="A3:C3"/>
    <mergeCell ref="D3:G3"/>
    <mergeCell ref="A4:C4"/>
    <mergeCell ref="D4:G4"/>
    <mergeCell ref="D5:G5"/>
    <mergeCell ref="D6:G6"/>
  </mergeCells>
  <conditionalFormatting sqref="K10:K69">
    <cfRule type="cellIs" dxfId="0" priority="1" operator="equal">
      <formula>"PASS"</formula>
    </cfRule>
  </conditionalFormatting>
  <conditionalFormatting sqref="K10:K69">
    <cfRule type="cellIs" dxfId="1" priority="2" operator="equal">
      <formula>"FAIL"</formula>
    </cfRule>
  </conditionalFormatting>
  <printOptions/>
  <pageMargins bottom="1.0" footer="0.0" header="0.0" left="0.75" right="0.75" top="1.0"/>
  <pageSetup orientation="landscape"/>
  <drawing r:id="rId1"/>
</worksheet>
</file>